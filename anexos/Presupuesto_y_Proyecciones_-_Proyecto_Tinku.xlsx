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drawings/_rels/drawing1.xml.rels" ContentType="application/vnd.openxmlformats-package.relationships+xml"/>
  <Override PartName="/xl/drawings/vmlDrawing5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omments6.xml" ContentType="application/vnd.openxmlformats-officedocument.spreadsheetml.comments+xml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áficos" sheetId="1" state="visible" r:id="rId3"/>
    <sheet name="Inversión Inicial" sheetId="2" state="visible" r:id="rId4"/>
    <sheet name="Gastos Post-lanzamiento" sheetId="3" state="visible" r:id="rId5"/>
    <sheet name="Valor de Venta" sheetId="4" state="visible" r:id="rId6"/>
    <sheet name="Estimación de Demanda" sheetId="5" state="visible" r:id="rId7"/>
    <sheet name="VAN, TIR y Repago" sheetId="6" state="visible" r:id="rId8"/>
  </sheets>
  <calcPr fullCalcOnLoad="1"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0" authorId="0">
      <text>
        <r>
          <rPr>
            <sz val="10"/>
            <rFont val="Arial"/>
            <family val="2"/>
          </rPr>
          <t xml:space="preserve">Inversión incremental: el MVP ya está construido (costo hundido, fila 5), por lo que solo se imputa lo necesario para completarlo y lanzarlo. Ver Cap. 5.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0" authorId="0">
      <text>
        <r>
          <rPr>
            <sz val="10"/>
            <rFont val="Arial"/>
            <family val="2"/>
          </rPr>
          <t xml:space="preserve">Sin personal de soporte rentado durante los 5 años: el mantenimiento lo sostiene el equipo fundador. Incluye el VPS de DigitalOcean (USD 24/mes) donde corren el backend y el matching-service.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2" authorId="0">
      <text>
        <r>
          <rPr>
            <sz val="10"/>
            <rFont val="Arial"/>
            <family val="2"/>
          </rPr>
          <t xml:space="preserve">27%: dentro de la banda de Preply (18-33%). El VAN del escenario Base se anula con una comisión de 23,4% (ver Cap. 5, análisis de sensibilidad).</t>
        </r>
      </text>
    </comment>
    <comment ref="F9" authorId="0">
      <text>
        <r>
          <rPr>
            <sz val="10"/>
            <rFont val="Arial"/>
            <family val="2"/>
          </rPr>
          <t xml:space="preserve">Costo del resumen opcional: se cobra aparte al alumno (filas 14 a 16) y solo su margen se suma al de la sesión.</t>
        </r>
      </text>
    </comment>
    <comment ref="F12" authorId="0">
      <text>
        <r>
          <rPr>
            <sz val="10"/>
            <rFont val="Arial"/>
            <family val="2"/>
          </rPr>
          <t xml:space="preserve">Margen neto = comisión bruta - pasarela de pago + margen del resumen opcional (≈ USD 0,89 por sesión). Alimenta los Ingresos Netos del Flujo de Fondos.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9" authorId="0">
      <text>
        <r>
          <rPr>
            <sz val="10"/>
            <rFont val="Arial"/>
            <family val="2"/>
          </rPr>
          <t xml:space="preserve">Insumo directo y editable. Arranca chico (130), retrocede en Año 2 por baja retención, repunta con una campaña puntual en Año 3 y vuelve a oscilar sin una tendencia sostenida de crecimiento.</t>
        </r>
      </text>
    </comment>
    <comment ref="D12" authorId="0">
      <text>
        <r>
          <rPr>
            <sz val="10"/>
            <rFont val="Arial"/>
            <family val="2"/>
          </rPr>
          <t xml:space="preserve">Insumo directo y editable. Oscila entre 200 y 290 alumnos: sube con inicio de ciclo lectivo/marketing, cae en temporada baja, vuelve a subir. No es una curva de adopción sostenida sino un rango realista para un MVP.</t>
        </r>
      </text>
    </comment>
    <comment ref="D13" authorId="0">
      <text>
        <r>
          <rPr>
            <sz val="10"/>
            <rFont val="Arial"/>
            <family val="2"/>
          </rPr>
          <t xml:space="preserve">Sesiones anuales = Alumnos activos x Clases/alumno/mes x 12. Esta es la métrica que impulsa los ingresos en el Flujo de Fondos (no los alumnos registrados).</t>
        </r>
      </text>
    </comment>
    <comment ref="D15" authorId="0">
      <text>
        <r>
          <rPr>
            <sz val="10"/>
            <rFont val="Arial"/>
            <family val="2"/>
          </rPr>
          <t xml:space="preserve">Insumo directo y editable. Mayor volatilidad (280 a 480): picos fuertes tras campañas o alianzas institucionales, seguidos de caídas por estacionalidad, pero sin escalar de forma continua.</t>
        </r>
      </text>
    </comment>
    <comment ref="F3" authorId="0">
      <text>
        <r>
          <rPr>
            <sz val="10"/>
            <rFont val="Arial"/>
            <family val="2"/>
          </rPr>
          <t xml:space="preserve">Subido de 2 a 3 clases/alumno/mes: sigue siendo conservador (menos de 1 clase por semana en promedio), pero es necesario para que el negocio genere margen suficiente para cubrir sus costos fijos.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9" authorId="0">
      <text>
        <r>
          <rPr>
            <sz val="10"/>
            <rFont val="Arial"/>
            <family val="2"/>
          </rPr>
          <t xml:space="preserve">VAN = NPV de los flujos Año1-5 a la tasa de descuento, más el flujo (negativo) de Año 0. TIR = IRR de todo el flujo Año0-5. Repago simple/descontado = año en que el flujo acumulado (sin/con descuento) pasa a ser positivo, interpolado dentro del año.</t>
        </r>
      </text>
    </comment>
    <comment ref="F3" authorId="0">
      <text>
        <r>
          <rPr>
            <sz val="10"/>
            <rFont val="Arial"/>
            <family val="2"/>
          </rPr>
          <t xml:space="preserve">Tasa construida por acumulación (Damodaran): tasa libre de riesgo + beta desapalancado x prima de mercado maduro + prima de riesgo país. Fuentes en la fila 6.</t>
        </r>
      </text>
    </comment>
    <comment ref="F4" authorId="0">
      <text>
        <r>
          <rPr>
            <sz val="10"/>
            <rFont val="Arial"/>
            <family val="2"/>
          </rPr>
          <t xml:space="preserve">Link a 'Inversión Inicial'!H10 (inversión incremental para completar y lanzar el MVP), en negativo por ser salida de caja en Año 0.</t>
        </r>
      </text>
    </comment>
    <comment ref="F5" authorId="0">
      <text>
        <r>
          <rPr>
            <sz val="10"/>
            <rFont val="Arial"/>
            <family val="2"/>
          </rPr>
          <t xml:space="preserve">Link a 'Valor de Venta'!F12 (margen neto: comisión bruta - pasarela de pago).</t>
        </r>
      </text>
    </comment>
  </commentList>
</comments>
</file>

<file path=xl/sharedStrings.xml><?xml version="1.0" encoding="utf-8"?>
<sst xmlns="http://schemas.openxmlformats.org/spreadsheetml/2006/main" count="240" uniqueCount="150">
  <si>
    <t xml:space="preserve">Gráficos - Proyecto Tinku</t>
  </si>
  <si>
    <t xml:space="preserve">Categoría</t>
  </si>
  <si>
    <t xml:space="preserve">Item</t>
  </si>
  <si>
    <t xml:space="preserve">Detalle</t>
  </si>
  <si>
    <t xml:space="preserve">Unidad_o_Frecuencia</t>
  </si>
  <si>
    <t xml:space="preserve">Cantidad</t>
  </si>
  <si>
    <t xml:space="preserve">Valor_Unitario (USD)</t>
  </si>
  <si>
    <t xml:space="preserve">Total_Estimado (USD)</t>
  </si>
  <si>
    <t xml:space="preserve">Observaciones</t>
  </si>
  <si>
    <t xml:space="preserve">Personal</t>
  </si>
  <si>
    <t xml:space="preserve">Senior (Arquitectura/IA/WebRTC)</t>
  </si>
  <si>
    <t xml:space="preserve">192 hs (8 hs/sem x 24 sem)</t>
  </si>
  <si>
    <t xml:space="preserve">Horas</t>
  </si>
  <si>
    <t xml:space="preserve">Mid (Backend/Pagos)</t>
  </si>
  <si>
    <t xml:space="preserve">250 hs (~10 hs/sem x 24 sem)</t>
  </si>
  <si>
    <t xml:space="preserve">Recortado de 480 a 250 hs: con Supabase como backend-as-a-service, gran parte del trabajo de servidor ya viene resuelto.</t>
  </si>
  <si>
    <t xml:space="preserve">Junior Frontend (PWA/UI)</t>
  </si>
  <si>
    <t xml:space="preserve">Recortado de 480 a 250 hs: usando un kit de componentes (shadcn/Tailwind) en vez de armar la UI desde cero.</t>
  </si>
  <si>
    <t xml:space="preserve">Junior QA (Pruebas UAT)</t>
  </si>
  <si>
    <t xml:space="preserve">120 hs (5 hs/sem x 24 sem)</t>
  </si>
  <si>
    <t xml:space="preserve">Infraestructura</t>
  </si>
  <si>
    <t xml:space="preserve">Cloud MVP (Supabase/Vercel/LiveKit)</t>
  </si>
  <si>
    <t xml:space="preserve">Planes gratuitos de desarrollo</t>
  </si>
  <si>
    <t xml:space="preserve">6 meses</t>
  </si>
  <si>
    <t xml:space="preserve">Capas Free Tier</t>
  </si>
  <si>
    <t xml:space="preserve">Administrativo</t>
  </si>
  <si>
    <t xml:space="preserve">Registro de Dominio</t>
  </si>
  <si>
    <t xml:space="preserve">Registro .com.ar o .com</t>
  </si>
  <si>
    <t xml:space="preserve">1 año</t>
  </si>
  <si>
    <t xml:space="preserve">Costos Ocultos (Legal)</t>
  </si>
  <si>
    <t xml:space="preserve">Asesoría Legal (TyC y Privacidad)</t>
  </si>
  <si>
    <t xml:space="preserve">Interacción con menores (Ley 25.326)</t>
  </si>
  <si>
    <t xml:space="preserve">Pago único</t>
  </si>
  <si>
    <t xml:space="preserve">Costos Ocultos (Riesgo)</t>
  </si>
  <si>
    <t xml:space="preserve">Contingencia por Imprevistos</t>
  </si>
  <si>
    <t xml:space="preserve">Retrabajo, subestimación de horas, bugs de último momento</t>
  </si>
  <si>
    <t xml:space="preserve">10% del desarrollo</t>
  </si>
  <si>
    <t xml:space="preserve">Agregado: el archivo original no incluía ningún colchón de imprevistos, algo poco realista en un MVP con estimación de horas ajustada.</t>
  </si>
  <si>
    <t xml:space="preserve">TOTAL INVERSIÓN INICIAL</t>
  </si>
  <si>
    <t xml:space="preserve">Año 1 (USD/mes)</t>
  </si>
  <si>
    <t xml:space="preserve">Año 2 (USD/mes)</t>
  </si>
  <si>
    <t xml:space="preserve">Año 3 (USD/mes)</t>
  </si>
  <si>
    <t xml:space="preserve">Año 4 (USD/mes)</t>
  </si>
  <si>
    <t xml:space="preserve">Año 5 (USD/mes)</t>
  </si>
  <si>
    <t xml:space="preserve">Servidores y BD</t>
  </si>
  <si>
    <t xml:space="preserve">Supabase Pro + Vercel Pro</t>
  </si>
  <si>
    <t xml:space="preserve">Escala apenas con volumen; la demanda no tiene tendencia sostenida de crecimiento</t>
  </si>
  <si>
    <t xml:space="preserve">Transmisión de Video (LiveKit)</t>
  </si>
  <si>
    <t xml:space="preserve">Tráfico de salida y ancho de banda</t>
  </si>
  <si>
    <t xml:space="preserve">Escala apenas con volumen</t>
  </si>
  <si>
    <t xml:space="preserve">Infraestructura IA</t>
  </si>
  <si>
    <t xml:space="preserve">Procesamiento Whisper/LLMs (base)</t>
  </si>
  <si>
    <t xml:space="preserve">Transcripciones y overhead por reintentos</t>
  </si>
  <si>
    <t xml:space="preserve">Costos Ocultos (Admin)</t>
  </si>
  <si>
    <t xml:space="preserve">Honorarios Contables</t>
  </si>
  <si>
    <t xml:space="preserve">Liquidación impositiva y comisiones</t>
  </si>
  <si>
    <t xml:space="preserve">Necesario desde el día 1, no escala</t>
  </si>
  <si>
    <t xml:space="preserve">Renovación de Dominio</t>
  </si>
  <si>
    <t xml:space="preserve">Prorrateo mensual de USD 15/año</t>
  </si>
  <si>
    <t xml:space="preserve">Marketing</t>
  </si>
  <si>
    <t xml:space="preserve">Adquisición de Usuarios</t>
  </si>
  <si>
    <t xml:space="preserve">Redes sociales, pauta paga, referidos</t>
  </si>
  <si>
    <t xml:space="preserve">Presupuesto modesto y estable, acorde a una demanda que oscila sin escalar</t>
  </si>
  <si>
    <t xml:space="preserve">TOTAL MENSUAL</t>
  </si>
  <si>
    <t xml:space="preserve">TOTAL ANUAL (costos fijos)</t>
  </si>
  <si>
    <t xml:space="preserve">Valor_Unitario</t>
  </si>
  <si>
    <t xml:space="preserve">Total_Estimado</t>
  </si>
  <si>
    <t xml:space="preserve">Monetización</t>
  </si>
  <si>
    <t xml:space="preserve">Comisión de Plataforma (Take-rate)</t>
  </si>
  <si>
    <t xml:space="preserve">Modelo Escrow mediante MercadoPago</t>
  </si>
  <si>
    <t xml:space="preserve">Por transacción</t>
  </si>
  <si>
    <t xml:space="preserve">Competitivo (Preply cobra 18-33%)</t>
  </si>
  <si>
    <t xml:space="preserve">Ticket Promedio Sugerido</t>
  </si>
  <si>
    <t xml:space="preserve">Valor promedio de sesión</t>
  </si>
  <si>
    <t xml:space="preserve">Por clase</t>
  </si>
  <si>
    <t xml:space="preserve">Comisión Bruta por Sesión</t>
  </si>
  <si>
    <t xml:space="preserve">Ticket x take-rate</t>
  </si>
  <si>
    <t xml:space="preserve">Costos Ocultos (IA)</t>
  </si>
  <si>
    <t xml:space="preserve">Duración de Sesión Estándar</t>
  </si>
  <si>
    <t xml:space="preserve">Sesión completa (paga full)</t>
  </si>
  <si>
    <t xml:space="preserve">Minutos</t>
  </si>
  <si>
    <t xml:space="preserve">Referencia sobre la que se calibra el costo de IA/procesamiento por hora</t>
  </si>
  <si>
    <t xml:space="preserve">% de Sesiones de 30 min (mínimo)</t>
  </si>
  <si>
    <t xml:space="preserve">Clases exprés / repaso corto</t>
  </si>
  <si>
    <t xml:space="preserve">% del total</t>
  </si>
  <si>
    <t xml:space="preserve">Supuesto editable: proporción de clases que usan el mínimo de 30 min en vez de la hora completa</t>
  </si>
  <si>
    <t xml:space="preserve">Duración Promedio Ponderada</t>
  </si>
  <si>
    <t xml:space="preserve">60 min x (1-%30min) + 30 min x %30min</t>
  </si>
  <si>
    <t xml:space="preserve">Duración real promedio de una sesión, mezclando las de 60 y las de 30 minutos</t>
  </si>
  <si>
    <t xml:space="preserve">Costo Variable IA por Hora de Procesamiento</t>
  </si>
  <si>
    <t xml:space="preserve">Whisper/LLM: transcripción + overhead de reintentos (calibrado a 60 min)</t>
  </si>
  <si>
    <t xml:space="preserve">Por hora</t>
  </si>
  <si>
    <t xml:space="preserve">Mismo supuesto de antes (USD 0,03), ahora explícito como costo por hora de audio/video procesado</t>
  </si>
  <si>
    <t xml:space="preserve">Costo Variable IA por Sesión (ajustado por duración)</t>
  </si>
  <si>
    <t xml:space="preserve">Costo por hora x (duración promedio / 60)</t>
  </si>
  <si>
    <t xml:space="preserve">Costo marginal de cómputo por sesión, adicional al costo fijo de infraestructura de 'Gastos Post-Lanzamiento'</t>
  </si>
  <si>
    <t xml:space="preserve">Costos Ocultos (Financieros)</t>
  </si>
  <si>
    <t xml:space="preserve">Tasa Pasarela de Pago (MercadoPago, c/IVA)</t>
  </si>
  <si>
    <t xml:space="preserve">Comisión de cobro ~4,99% + 21% IVA sobre esa comisión</t>
  </si>
  <si>
    <t xml:space="preserve">Agregado: faltaba por completo en el modelo. Es un costo real de cobrar con MercadoPago, distinto de tu comisión de plataforma (que es ingreso, no costo).</t>
  </si>
  <si>
    <t xml:space="preserve">Costo Pasarela de Pago por Sesión</t>
  </si>
  <si>
    <t xml:space="preserve">Ticket x tasa de pasarela</t>
  </si>
  <si>
    <t xml:space="preserve">Margen Neto por Sesión</t>
  </si>
  <si>
    <t xml:space="preserve">Comisión bruta - costo IA - costo pasarela de pago</t>
  </si>
  <si>
    <t xml:space="preserve">Impulsa los ingresos del flujo de fondos</t>
  </si>
  <si>
    <t xml:space="preserve">Fricción Financiera Adicional</t>
  </si>
  <si>
    <t xml:space="preserve">Retenciones IIBB, IVA, contracargos</t>
  </si>
  <si>
    <t xml:space="preserve">Variable</t>
  </si>
  <si>
    <t xml:space="preserve">No cuantificada (depende de jurisdicción); tratar como sensibilidad adicional sobre el margen</t>
  </si>
  <si>
    <t xml:space="preserve">Supuestos de Demanda</t>
  </si>
  <si>
    <t xml:space="preserve">Los alumnos activos por año son un insumo directo por escenario (celdas azules abajo), no una curva de crecimiento compuesto: reflejan estacionalidad académica, altas y bajas de cohortes, y el efecto puntual de campañas de marketing.</t>
  </si>
  <si>
    <t xml:space="preserve">Clases promedio por alumno por mes</t>
  </si>
  <si>
    <t xml:space="preserve">Escenario</t>
  </si>
  <si>
    <t xml:space="preserve">Métrica</t>
  </si>
  <si>
    <t xml:space="preserve">Año 1</t>
  </si>
  <si>
    <t xml:space="preserve">Año 2</t>
  </si>
  <si>
    <t xml:space="preserve">Año 3</t>
  </si>
  <si>
    <t xml:space="preserve">Año 4</t>
  </si>
  <si>
    <t xml:space="preserve">Año 5</t>
  </si>
  <si>
    <t xml:space="preserve">Pesimista</t>
  </si>
  <si>
    <t xml:space="preserve">Alumnos activos</t>
  </si>
  <si>
    <t xml:space="preserve">Clases anuales (sesiones)</t>
  </si>
  <si>
    <t xml:space="preserve">Base</t>
  </si>
  <si>
    <t xml:space="preserve">Optimista</t>
  </si>
  <si>
    <t xml:space="preserve">Flujo de Fondos y Evaluación Financiera (VAN, TIR, Payback)</t>
  </si>
  <si>
    <t xml:space="preserve">Tasa de Descuento (WACC / costo de oportunidad anual)</t>
  </si>
  <si>
    <t xml:space="preserve">Inversión Inicial (Año 0)</t>
  </si>
  <si>
    <t xml:space="preserve">Margen Neto por Sesión (USD)</t>
  </si>
  <si>
    <t xml:space="preserve">Escenario: Pesimista</t>
  </si>
  <si>
    <t xml:space="preserve">Período</t>
  </si>
  <si>
    <t xml:space="preserve">Año 0</t>
  </si>
  <si>
    <t xml:space="preserve">Ingresos Netos (Clases x Margen Neto)</t>
  </si>
  <si>
    <t xml:space="preserve">Costos Fijos Anuales</t>
  </si>
  <si>
    <t xml:space="preserve">Flujo Neto de Fondos</t>
  </si>
  <si>
    <t xml:space="preserve">Flujo Acumulado</t>
  </si>
  <si>
    <t xml:space="preserve">Flujo Neto Descontado</t>
  </si>
  <si>
    <t xml:space="preserve">Flujo Acumulado Descontado</t>
  </si>
  <si>
    <t xml:space="preserve">Indicadores</t>
  </si>
  <si>
    <t xml:space="preserve">VAN (Valor Actual Neto)</t>
  </si>
  <si>
    <t xml:space="preserve">TIR (Tasa Interna de Retorno)</t>
  </si>
  <si>
    <t xml:space="preserve">Período de Repago Simple (años)</t>
  </si>
  <si>
    <t xml:space="preserve">Período de Repago Descontado (años)</t>
  </si>
  <si>
    <t xml:space="preserve">Escenario: Base</t>
  </si>
  <si>
    <t xml:space="preserve">Escenario: Optimista</t>
  </si>
  <si>
    <t xml:space="preserve">Línea de referencia (0)</t>
  </si>
  <si>
    <t xml:space="preserve">Resumen Comparativo de Escenarios</t>
  </si>
  <si>
    <t xml:space="preserve">VAN (USD)</t>
  </si>
  <si>
    <t xml:space="preserve">TIR (%)</t>
  </si>
  <si>
    <t xml:space="preserve">Repago Simple</t>
  </si>
  <si>
    <t xml:space="preserve">Repago Descontado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</si>
</sst>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$#,##0;&quot;($&quot;#,##0\);\-"/>
    <numFmt numFmtId="166" formatCode="#,##0;\(#,##0\);\-"/>
    <numFmt numFmtId="167" formatCode="0%"/>
    <numFmt numFmtId="168" formatCode="\$#,##0.00;&quot;($&quot;#,##0.00\);\-"/>
    <numFmt numFmtId="169" formatCode="#,##0.0&quot; hs&quot;"/>
    <numFmt numFmtId="170" formatCode="0.0%"/>
    <numFmt numFmtId="171" formatCode="0&quot; min&quot;"/>
    <numFmt numFmtId="172" formatCode="\$#,##0.0000;&quot;($&quot;#,##0.0000\);\-"/>
    <numFmt numFmtId="173" formatCode="0.00%"/>
    <numFmt numFmtId="174" formatCode="\$#,##0.00"/>
    <numFmt numFmtId="175" formatCode="0.00&quot; años&quot;"/>
  </numFmts>
  <fonts count="2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b val="true"/>
      <sz val="18"/>
      <color rgb="FF000000"/>
      <name val="Arial"/>
      <family val="2"/>
    </font>
    <font>
      <sz val="10"/>
      <color rgb="FF000000"/>
      <name val="Arial"/>
      <family val="2"/>
    </font>
    <font>
      <b val="true"/>
      <sz val="10"/>
      <color rgb="FF000000"/>
      <name val="Arial"/>
      <family val="2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sz val="10"/>
      <name val="Arial"/>
      <family val="2"/>
    </font>
    <font>
      <i val="true"/>
      <sz val="10"/>
      <color rgb="FF59595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11"/>
      <color rgb="FF80808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203864"/>
      </patternFill>
    </fill>
    <fill>
      <patternFill patternType="solid">
        <fgColor rgb="FFFCE4D6"/>
        <bgColor rgb="FFFBE5D6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BE5D6"/>
        <bgColor rgb="FFFCE4D6"/>
      </patternFill>
    </fill>
    <fill>
      <patternFill patternType="solid">
        <fgColor rgb="FFDDEBF7"/>
        <bgColor rgb="FFD9E1F2"/>
      </patternFill>
    </fill>
    <fill>
      <patternFill patternType="solid">
        <fgColor rgb="FFD9E1F2"/>
        <bgColor rgb="FFDDEBF7"/>
      </patternFill>
    </fill>
    <fill>
      <patternFill patternType="solid">
        <fgColor rgb="FF203864"/>
        <bgColor rgb="FF1F4E7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73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3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1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11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8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8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11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9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9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9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7B7B7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BE5D6"/>
      <rgbColor rgb="FF99CCFF"/>
      <rgbColor rgb="FFFF99CC"/>
      <rgbColor rgb="FFCC99FF"/>
      <rgbColor rgb="FFFCE4D6"/>
      <rgbColor rgb="FF2E74B5"/>
      <rgbColor rgb="FF33CCCC"/>
      <rgbColor rgb="FF99CC00"/>
      <rgbColor rgb="FFFFCC00"/>
      <rgbColor rgb="FFFF9900"/>
      <rgbColor rgb="FFC55A11"/>
      <rgbColor rgb="FF595959"/>
      <rgbColor rgb="FFB3B3B3"/>
      <rgbColor rgb="FF203864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sz="1800" spc="-1" strike="noStrike">
                <a:solidFill>
                  <a:srgbClr val="000000"/>
                </a:solidFill>
                <a:latin typeface="Arial"/>
                <a:ea typeface="Arial"/>
              </a:rPr>
              <a:t>Flujo de Caja Anual por Escenario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'VAN, TIR y Repago'!B13</c:f>
              <c:strCache>
                <c:ptCount val="1"/>
                <c:pt idx="0">
                  <c:v>Flujo Neto de Fondos</c:v>
                </c:pt>
              </c:strCache>
            </c:strRef>
          </c:tx>
          <c:spPr>
            <a:solidFill>
              <a:srgbClr val="c55a11"/>
            </a:solidFill>
            <a:ln w="24840">
              <a:solidFill>
                <a:srgbClr val="c55a11"/>
              </a:solidFill>
              <a:round/>
            </a:ln>
          </c:spPr>
          <c:marker>
            <c:symbol val="circle"/>
            <c:size val="6"/>
            <c:spPr>
              <a:solidFill>
                <a:srgbClr val="c55a1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'VAN, TIR y Repago'!$C$9:$H$9</c:f>
              <c:strCache>
                <c:ptCount val="6"/>
                <c:pt idx="0">
                  <c:v>Año 0</c:v>
                </c:pt>
                <c:pt idx="1">
                  <c:v>Año 1</c:v>
                </c:pt>
                <c:pt idx="2">
                  <c:v>Año 2</c:v>
                </c:pt>
                <c:pt idx="3">
                  <c:v>Año 3</c:v>
                </c:pt>
                <c:pt idx="4">
                  <c:v>Año 4</c:v>
                </c:pt>
                <c:pt idx="5">
                  <c:v>Año 5</c:v>
                </c:pt>
              </c:strCache>
            </c:strRef>
          </c:cat>
          <c:val>
            <c:numRef>
              <c:f>'VAN, TIR y Repago'!$C$13:$H$13</c:f>
              <c:numCache>
                <c:formatCode>\$#,##0;"($"#,##0\);\-</c:formatCode>
                <c:ptCount val="6"/>
                <c:pt idx="0">
                  <c:v>-4395.470588235294</c:v>
                </c:pt>
                <c:pt idx="1">
                  <c:v>-347.44309128338773</c:v>
                </c:pt>
                <c:pt idx="2">
                  <c:v>-1105.3037632833875</c:v>
                </c:pt>
                <c:pt idx="3">
                  <c:v>189.34791671661242</c:v>
                </c:pt>
                <c:pt idx="4">
                  <c:v>-748.5127552833874</c:v>
                </c:pt>
                <c:pt idx="5">
                  <c:v>546.1389247166126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'VAN, TIR y Repago'!B29</c:f>
              <c:strCache>
                <c:ptCount val="1"/>
                <c:pt idx="0">
                  <c:v>Flujo Neto de Fondos</c:v>
                </c:pt>
              </c:strCache>
            </c:strRef>
          </c:tx>
          <c:spPr>
            <a:solidFill>
              <a:srgbClr val="548235"/>
            </a:solidFill>
            <a:ln w="24840">
              <a:solidFill>
                <a:srgbClr val="548235"/>
              </a:solidFill>
              <a:round/>
            </a:ln>
          </c:spPr>
          <c:marker>
            <c:symbol val="circle"/>
            <c:size val="6"/>
            <c:spPr>
              <a:solidFill>
                <a:srgbClr val="54823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'VAN, TIR y Repago'!$C$9:$H$9</c:f>
              <c:strCache>
                <c:ptCount val="6"/>
                <c:pt idx="0">
                  <c:v>Año 0</c:v>
                </c:pt>
                <c:pt idx="1">
                  <c:v>Año 1</c:v>
                </c:pt>
                <c:pt idx="2">
                  <c:v>Año 2</c:v>
                </c:pt>
                <c:pt idx="3">
                  <c:v>Año 3</c:v>
                </c:pt>
                <c:pt idx="4">
                  <c:v>Año 4</c:v>
                </c:pt>
                <c:pt idx="5">
                  <c:v>Año 5</c:v>
                </c:pt>
              </c:strCache>
            </c:strRef>
          </c:cat>
          <c:val>
            <c:numRef>
              <c:f>'VAN, TIR y Repago'!$C$29:$H$29</c:f>
              <c:numCache>
                <c:formatCode>\$#,##0;"($"#,##0\);\-</c:formatCode>
                <c:ptCount val="6"/>
                <c:pt idx="0">
                  <c:v>-4395.470588235294</c:v>
                </c:pt>
                <c:pt idx="1">
                  <c:v>1885.069260716613</c:v>
                </c:pt>
                <c:pt idx="2">
                  <c:v>3678.6512767166123</c:v>
                </c:pt>
                <c:pt idx="3">
                  <c:v>1783.9995967166133</c:v>
                </c:pt>
                <c:pt idx="4">
                  <c:v>4035.4422847166124</c:v>
                </c:pt>
                <c:pt idx="5">
                  <c:v>2459.720940716613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'VAN, TIR y Repago'!B45</c:f>
              <c:strCache>
                <c:ptCount val="1"/>
                <c:pt idx="0">
                  <c:v>Flujo Neto de Fondos</c:v>
                </c:pt>
              </c:strCache>
            </c:strRef>
          </c:tx>
          <c:spPr>
            <a:solidFill>
              <a:srgbClr val="2e74b5"/>
            </a:solidFill>
            <a:ln w="24840">
              <a:solidFill>
                <a:srgbClr val="2e74b5"/>
              </a:solidFill>
              <a:round/>
            </a:ln>
          </c:spPr>
          <c:marker>
            <c:symbol val="circle"/>
            <c:size val="6"/>
            <c:spPr>
              <a:solidFill>
                <a:srgbClr val="2e74b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'VAN, TIR y Repago'!$C$9:$H$9</c:f>
              <c:strCache>
                <c:ptCount val="6"/>
                <c:pt idx="0">
                  <c:v>Año 0</c:v>
                </c:pt>
                <c:pt idx="1">
                  <c:v>Año 1</c:v>
                </c:pt>
                <c:pt idx="2">
                  <c:v>Año 2</c:v>
                </c:pt>
                <c:pt idx="3">
                  <c:v>Año 3</c:v>
                </c:pt>
                <c:pt idx="4">
                  <c:v>Año 4</c:v>
                </c:pt>
                <c:pt idx="5">
                  <c:v>Año 5</c:v>
                </c:pt>
              </c:strCache>
            </c:strRef>
          </c:cat>
          <c:val>
            <c:numRef>
              <c:f>'VAN, TIR y Repago'!$C$45:$H$45</c:f>
              <c:numCache>
                <c:formatCode>\$#,##0;"($"#,##0\);\-</c:formatCode>
                <c:ptCount val="6"/>
                <c:pt idx="0">
                  <c:v>-4395.470588235294</c:v>
                </c:pt>
                <c:pt idx="1">
                  <c:v>4436.511948716613</c:v>
                </c:pt>
                <c:pt idx="2">
                  <c:v>8781.536652716615</c:v>
                </c:pt>
                <c:pt idx="3">
                  <c:v>5930.093964716613</c:v>
                </c:pt>
                <c:pt idx="4">
                  <c:v>10095.118668716612</c:v>
                </c:pt>
                <c:pt idx="5">
                  <c:v>7243.675980716614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6268346"/>
        <c:axId val="36368994"/>
      </c:lineChart>
      <c:catAx>
        <c:axId val="262683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Período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36368994"/>
        <c:crosses val="autoZero"/>
        <c:auto val="1"/>
        <c:lblAlgn val="ctr"/>
        <c:lblOffset val="100"/>
        <c:noMultiLvlLbl val="0"/>
      </c:catAx>
      <c:valAx>
        <c:axId val="3636899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262683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sz="1800" spc="-1" strike="noStrike">
                <a:solidFill>
                  <a:srgbClr val="000000"/>
                </a:solidFill>
                <a:latin typeface="Arial"/>
                <a:ea typeface="Arial"/>
              </a:rPr>
              <a:t>Flujo Acumulado y Punto de Repago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'VAN, TIR y Repago'!B14</c:f>
              <c:strCache>
                <c:ptCount val="1"/>
                <c:pt idx="0">
                  <c:v>Flujo Acumulado</c:v>
                </c:pt>
              </c:strCache>
            </c:strRef>
          </c:tx>
          <c:spPr>
            <a:solidFill>
              <a:srgbClr val="c55a11"/>
            </a:solidFill>
            <a:ln w="24840">
              <a:solidFill>
                <a:srgbClr val="c55a11"/>
              </a:solidFill>
              <a:round/>
            </a:ln>
          </c:spPr>
          <c:marker>
            <c:symbol val="circle"/>
            <c:size val="6"/>
            <c:spPr>
              <a:solidFill>
                <a:srgbClr val="c55a1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'VAN, TIR y Repago'!$C$9:$H$9</c:f>
              <c:strCache>
                <c:ptCount val="6"/>
                <c:pt idx="0">
                  <c:v>Año 0</c:v>
                </c:pt>
                <c:pt idx="1">
                  <c:v>Año 1</c:v>
                </c:pt>
                <c:pt idx="2">
                  <c:v>Año 2</c:v>
                </c:pt>
                <c:pt idx="3">
                  <c:v>Año 3</c:v>
                </c:pt>
                <c:pt idx="4">
                  <c:v>Año 4</c:v>
                </c:pt>
                <c:pt idx="5">
                  <c:v>Año 5</c:v>
                </c:pt>
              </c:strCache>
            </c:strRef>
          </c:cat>
          <c:val>
            <c:numRef>
              <c:f>'VAN, TIR y Repago'!$C$14:$H$14</c:f>
              <c:numCache>
                <c:formatCode>\$#,##0;"($"#,##0\);\-</c:formatCode>
                <c:ptCount val="6"/>
                <c:pt idx="0">
                  <c:v>-4395.470588235294</c:v>
                </c:pt>
                <c:pt idx="1">
                  <c:v>-4742.913679518681</c:v>
                </c:pt>
                <c:pt idx="2">
                  <c:v>-5848.217442802069</c:v>
                </c:pt>
                <c:pt idx="3">
                  <c:v>-5658.8695260854565</c:v>
                </c:pt>
                <c:pt idx="4">
                  <c:v>-6407.382281368844</c:v>
                </c:pt>
                <c:pt idx="5">
                  <c:v>-5861.243356652231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'VAN, TIR y Repago'!B30</c:f>
              <c:strCache>
                <c:ptCount val="1"/>
                <c:pt idx="0">
                  <c:v>Flujo Acumulado</c:v>
                </c:pt>
              </c:strCache>
            </c:strRef>
          </c:tx>
          <c:spPr>
            <a:solidFill>
              <a:srgbClr val="548235"/>
            </a:solidFill>
            <a:ln w="24840">
              <a:solidFill>
                <a:srgbClr val="548235"/>
              </a:solidFill>
              <a:round/>
            </a:ln>
          </c:spPr>
          <c:marker>
            <c:symbol val="circle"/>
            <c:size val="6"/>
            <c:spPr>
              <a:solidFill>
                <a:srgbClr val="54823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'VAN, TIR y Repago'!$C$9:$H$9</c:f>
              <c:strCache>
                <c:ptCount val="6"/>
                <c:pt idx="0">
                  <c:v>Año 0</c:v>
                </c:pt>
                <c:pt idx="1">
                  <c:v>Año 1</c:v>
                </c:pt>
                <c:pt idx="2">
                  <c:v>Año 2</c:v>
                </c:pt>
                <c:pt idx="3">
                  <c:v>Año 3</c:v>
                </c:pt>
                <c:pt idx="4">
                  <c:v>Año 4</c:v>
                </c:pt>
                <c:pt idx="5">
                  <c:v>Año 5</c:v>
                </c:pt>
              </c:strCache>
            </c:strRef>
          </c:cat>
          <c:val>
            <c:numRef>
              <c:f>'VAN, TIR y Repago'!$C$30:$H$30</c:f>
              <c:numCache>
                <c:formatCode>\$#,##0;"($"#,##0\);\-</c:formatCode>
                <c:ptCount val="6"/>
                <c:pt idx="0">
                  <c:v>-4395.470588235294</c:v>
                </c:pt>
                <c:pt idx="1">
                  <c:v>-2510.401327518681</c:v>
                </c:pt>
                <c:pt idx="2">
                  <c:v>1168.2499491979315</c:v>
                </c:pt>
                <c:pt idx="3">
                  <c:v>2952.249545914545</c:v>
                </c:pt>
                <c:pt idx="4">
                  <c:v>6987.691830631157</c:v>
                </c:pt>
                <c:pt idx="5">
                  <c:v>9447.41277134777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'VAN, TIR y Repago'!B46</c:f>
              <c:strCache>
                <c:ptCount val="1"/>
                <c:pt idx="0">
                  <c:v>Flujo Acumulado</c:v>
                </c:pt>
              </c:strCache>
            </c:strRef>
          </c:tx>
          <c:spPr>
            <a:solidFill>
              <a:srgbClr val="2e74b5"/>
            </a:solidFill>
            <a:ln w="24840">
              <a:solidFill>
                <a:srgbClr val="2e74b5"/>
              </a:solidFill>
              <a:round/>
            </a:ln>
          </c:spPr>
          <c:marker>
            <c:symbol val="circle"/>
            <c:size val="6"/>
            <c:spPr>
              <a:solidFill>
                <a:srgbClr val="2e74b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'VAN, TIR y Repago'!$C$9:$H$9</c:f>
              <c:strCache>
                <c:ptCount val="6"/>
                <c:pt idx="0">
                  <c:v>Año 0</c:v>
                </c:pt>
                <c:pt idx="1">
                  <c:v>Año 1</c:v>
                </c:pt>
                <c:pt idx="2">
                  <c:v>Año 2</c:v>
                </c:pt>
                <c:pt idx="3">
                  <c:v>Año 3</c:v>
                </c:pt>
                <c:pt idx="4">
                  <c:v>Año 4</c:v>
                </c:pt>
                <c:pt idx="5">
                  <c:v>Año 5</c:v>
                </c:pt>
              </c:strCache>
            </c:strRef>
          </c:cat>
          <c:val>
            <c:numRef>
              <c:f>'VAN, TIR y Repago'!$C$46:$H$46</c:f>
              <c:numCache>
                <c:formatCode>\$#,##0;"($"#,##0\);\-</c:formatCode>
                <c:ptCount val="6"/>
                <c:pt idx="0">
                  <c:v>-4395.470588235294</c:v>
                </c:pt>
                <c:pt idx="1">
                  <c:v>41.041360481319316</c:v>
                </c:pt>
                <c:pt idx="2">
                  <c:v>8822.578013197934</c:v>
                </c:pt>
                <c:pt idx="3">
                  <c:v>14752.671977914546</c:v>
                </c:pt>
                <c:pt idx="4">
                  <c:v>24847.790646631158</c:v>
                </c:pt>
                <c:pt idx="5">
                  <c:v>32091.46662734777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'VAN, TIR y Repago'!B56</c:f>
              <c:strCache>
                <c:ptCount val="1"/>
                <c:pt idx="0">
                  <c:v>Línea de referencia (0)</c:v>
                </c:pt>
              </c:strCache>
            </c:strRef>
          </c:tx>
          <c:spPr>
            <a:solidFill>
              <a:srgbClr val="808080"/>
            </a:solidFill>
            <a:ln w="11880">
              <a:solidFill>
                <a:srgbClr val="80808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'VAN, TIR y Repago'!$C$9:$H$9</c:f>
              <c:strCache>
                <c:ptCount val="6"/>
                <c:pt idx="0">
                  <c:v>Año 0</c:v>
                </c:pt>
                <c:pt idx="1">
                  <c:v>Año 1</c:v>
                </c:pt>
                <c:pt idx="2">
                  <c:v>Año 2</c:v>
                </c:pt>
                <c:pt idx="3">
                  <c:v>Año 3</c:v>
                </c:pt>
                <c:pt idx="4">
                  <c:v>Año 4</c:v>
                </c:pt>
                <c:pt idx="5">
                  <c:v>Año 5</c:v>
                </c:pt>
              </c:strCache>
            </c:strRef>
          </c:cat>
          <c:val>
            <c:numRef>
              <c:f>'VAN, TIR y Repago'!$C$56:$H$56</c:f>
              <c:numCache>
                <c:formatCode>\$#,##0;"($"#,##0\);\-</c:formatCode>
                <c:ptCount val="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8697192"/>
        <c:axId val="51419777"/>
      </c:lineChart>
      <c:catAx>
        <c:axId val="86971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Período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51419777"/>
        <c:crosses val="autoZero"/>
        <c:auto val="1"/>
        <c:lblAlgn val="ctr"/>
        <c:lblOffset val="100"/>
        <c:noMultiLvlLbl val="0"/>
      </c:catAx>
      <c:valAx>
        <c:axId val="5141977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USD acumulados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86971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sz="1800" spc="-1" strike="noStrike">
                <a:solidFill>
                  <a:srgbClr val="000000"/>
                </a:solidFill>
                <a:latin typeface="Arial"/>
                <a:ea typeface="Arial"/>
              </a:rPr>
              <a:t>VAN por Escenario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'VAN, TIR y Repago'!C59</c:f>
              <c:strCache>
                <c:ptCount val="1"/>
                <c:pt idx="0">
                  <c:v>VAN (USD)</c:v>
                </c:pt>
              </c:strCache>
            </c:strRef>
          </c:tx>
          <c:spPr>
            <a:solidFill>
              <a:srgbClr val="1f4e78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'VAN, TIR y Repago'!$B$60:$B$62</c:f>
              <c:strCache>
                <c:ptCount val="3"/>
                <c:pt idx="0">
                  <c:v>Pesimista</c:v>
                </c:pt>
                <c:pt idx="1">
                  <c:v>Base</c:v>
                </c:pt>
                <c:pt idx="2">
                  <c:v>Optimista</c:v>
                </c:pt>
              </c:strCache>
            </c:strRef>
          </c:cat>
          <c:val>
            <c:numRef>
              <c:f>'VAN, TIR y Repago'!$C$60:$C$62</c:f>
              <c:numCache>
                <c:formatCode>\$#,##0;"($"#,##0\);\-</c:formatCode>
                <c:ptCount val="3"/>
                <c:pt idx="0">
                  <c:v>-5467.845231165994</c:v>
                </c:pt>
                <c:pt idx="1">
                  <c:v>3495.504020195236</c:v>
                </c:pt>
                <c:pt idx="2">
                  <c:v>16071.980618890411</c:v>
                </c:pt>
              </c:numCache>
            </c:numRef>
          </c:val>
        </c:ser>
        <c:gapWidth val="150"/>
        <c:overlap val="0"/>
        <c:axId val="70674924"/>
        <c:axId val="97136807"/>
      </c:barChart>
      <c:catAx>
        <c:axId val="706749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Escenario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97136807"/>
        <c:crosses val="autoZero"/>
        <c:auto val="1"/>
        <c:lblAlgn val="ctr"/>
        <c:lblOffset val="100"/>
        <c:noMultiLvlLbl val="0"/>
      </c:catAx>
      <c:valAx>
        <c:axId val="9713680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VAN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706749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131040</xdr:rowOff>
    </xdr:from>
    <xdr:to>
      <xdr:col>13</xdr:col>
      <xdr:colOff>579960</xdr:colOff>
      <xdr:row>21</xdr:row>
      <xdr:rowOff>109440</xdr:rowOff>
    </xdr:to>
    <xdr:graphicFrame>
      <xdr:nvGraphicFramePr>
        <xdr:cNvPr id="0" name="Chart 1"/>
        <xdr:cNvGraphicFramePr/>
      </xdr:nvGraphicFramePr>
      <xdr:xfrm>
        <a:off x="141120" y="569160"/>
        <a:ext cx="7917840" cy="359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22</xdr:row>
      <xdr:rowOff>131040</xdr:rowOff>
    </xdr:from>
    <xdr:to>
      <xdr:col>13</xdr:col>
      <xdr:colOff>579960</xdr:colOff>
      <xdr:row>41</xdr:row>
      <xdr:rowOff>109080</xdr:rowOff>
    </xdr:to>
    <xdr:graphicFrame>
      <xdr:nvGraphicFramePr>
        <xdr:cNvPr id="1" name="Chart 2"/>
        <xdr:cNvGraphicFramePr/>
      </xdr:nvGraphicFramePr>
      <xdr:xfrm>
        <a:off x="141120" y="4379040"/>
        <a:ext cx="7917840" cy="359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42</xdr:row>
      <xdr:rowOff>130680</xdr:rowOff>
    </xdr:from>
    <xdr:to>
      <xdr:col>9</xdr:col>
      <xdr:colOff>145800</xdr:colOff>
      <xdr:row>61</xdr:row>
      <xdr:rowOff>109080</xdr:rowOff>
    </xdr:to>
    <xdr:graphicFrame>
      <xdr:nvGraphicFramePr>
        <xdr:cNvPr id="2" name="Chart 3"/>
        <xdr:cNvGraphicFramePr/>
      </xdr:nvGraphicFramePr>
      <xdr:xfrm>
        <a:off x="141120" y="8188920"/>
        <a:ext cx="5037840" cy="359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</cols>
  <sheetData>
    <row r="2" customFormat="false" ht="19.5" hidden="false" customHeight="true" outlineLevel="0" collapsed="false">
      <c r="B2" s="2" t="s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3.25"/>
    <col collapsed="false" customWidth="true" hidden="false" outlineLevel="0" max="8" min="2" style="1" width="22"/>
    <col collapsed="false" customWidth="true" hidden="false" outlineLevel="0" max="9" min="9" style="1" width="46"/>
  </cols>
  <sheetData>
    <row r="1" customFormat="false" ht="26.25" hidden="false" customHeight="true" outlineLevel="0" collapsed="false"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customFormat="false" ht="39" hidden="false" customHeight="true" outlineLevel="0" collapsed="false">
      <c r="B2" s="4" t="inlineStr">
        <is>
          <t xml:space="preserve">Personal</t>
        </is>
      </c>
      <c r="C2" s="4" t="inlineStr">
        <is>
          <t xml:space="preserve">Desarrollo pendiente (Senior, asistido con IA)</t>
        </is>
      </c>
      <c r="D2" s="4" t="inlineStr">
        <is>
          <t xml:space="preserve">36 tareas x 0,76 h/tarea (103,2 h de git-hours / 136 tareas completadas)</t>
        </is>
      </c>
      <c r="E2" s="4" t="inlineStr">
        <is>
          <t xml:space="preserve">Horas</t>
        </is>
      </c>
      <c r="F2" s="5" t="n">
        <f aca="false">36*103.2/136</f>
        <v>27.317647058823532</v>
      </c>
      <c r="G2" s="6" t="n">
        <v>50</v>
      </c>
      <c r="H2" s="7" t="n">
        <f aca="false">F2*G2</f>
        <v>1365.8823529411766</v>
      </c>
      <c r="I2" s="4" t="inlineStr">
        <is>
          <t xml:space="preserve">32 tareas pendientes del repo al 22/09/2026, más 5 para reincorporar el CAP para tutores de menores y menos 1 que se cancela (T-AUD-032). Tasa observada en el propio repositorio</t>
        </is>
      </c>
    </row>
    <row r="3" customFormat="false" ht="39" hidden="false" customHeight="true" outlineLevel="0" collapsed="false">
      <c r="B3" s="4" t="inlineStr">
        <is>
          <t xml:space="preserve">Personal</t>
        </is>
      </c>
      <c r="C3" s="4" t="inlineStr">
        <is>
          <t xml:space="preserve">Soporte y correcciones del piloto (Senior)</t>
        </is>
      </c>
      <c r="D3" s="4" t="inlineStr">
        <is>
          <t xml:space="preserve">8 h/sem x 4 semanas (Sprint 11)</t>
        </is>
      </c>
      <c r="E3" s="4" t="inlineStr">
        <is>
          <t xml:space="preserve">Horas</t>
        </is>
      </c>
      <c r="F3" s="5" t="n">
        <v>32</v>
      </c>
      <c r="G3" s="6" t="n">
        <v>50</v>
      </c>
      <c r="H3" s="7" t="n">
        <f aca="false">F3*G3</f>
        <v>1600.0</v>
      </c>
      <c r="I3" s="4" t="inlineStr">
        <is>
          <t xml:space="preserve">Misma dedicación semanal que el perfil senior del modelo original</t>
        </is>
      </c>
    </row>
    <row r="4" customFormat="false" ht="26.25" hidden="false" customHeight="true" outlineLevel="0" collapsed="false">
      <c r="B4" s="4" t="inlineStr">
        <is>
          <t xml:space="preserve">Personal</t>
        </is>
      </c>
      <c r="C4" s="4" t="inlineStr">
        <is>
          <t xml:space="preserve">UAT del piloto (QA Junior)</t>
        </is>
      </c>
      <c r="D4" s="4" t="inlineStr">
        <is>
          <t xml:space="preserve">5 h/sem x 4 semanas (Sprint 11)</t>
        </is>
      </c>
      <c r="E4" s="4" t="inlineStr">
        <is>
          <t xml:space="preserve">Horas</t>
        </is>
      </c>
      <c r="F4" s="5" t="n">
        <v>20</v>
      </c>
      <c r="G4" s="6" t="n">
        <v>15</v>
      </c>
      <c r="H4" s="7" t="n">
        <f aca="false">F4*G4</f>
        <v>300.0</v>
      </c>
      <c r="I4" s="4" t="inlineStr">
        <is>
          <t xml:space="preserve">Misma dedicación semanal que el perfil QA del modelo original</t>
        </is>
      </c>
    </row>
    <row r="5" customFormat="false" ht="26.25" hidden="false" customHeight="true" outlineLevel="0" collapsed="false">
      <c r="B5" s="4" t="inlineStr">
        <is>
          <t xml:space="preserve">Costo hundido</t>
        </is>
      </c>
      <c r="C5" s="4" t="inlineStr">
        <is>
          <t xml:space="preserve">MVP ya construido (no se imputa)</t>
        </is>
      </c>
      <c r="D5" s="4" t="inlineStr">
        <is>
          <t xml:space="preserve">103,2 h según git-hours; ~10.300 h según COCOMO básico para 24.110 líneas</t>
        </is>
      </c>
      <c r="E5" s="4" t="inlineStr">
        <is>
          <t xml:space="preserve">Horas</t>
        </is>
      </c>
      <c r="F5" s="5" t="n">
        <v>103.2</v>
      </c>
      <c r="G5" s="6" t="n">
        <v>0</v>
      </c>
      <c r="H5" s="7" t="n">
        <f aca="false">F5*G5</f>
        <v>0.0</v>
      </c>
      <c r="I5" s="4" t="inlineStr">
        <is>
          <t xml:space="preserve">Costo hundido: ya incurrido, no depende de la decisión de lanzar. Se informa pero no integra la inversión</t>
        </is>
      </c>
    </row>
    <row r="6" customFormat="false" ht="15.75" hidden="false" customHeight="true" outlineLevel="0" collapsed="false">
      <c r="B6" s="8" t="s">
        <v>20</v>
      </c>
      <c r="C6" s="8" t="s">
        <v>21</v>
      </c>
      <c r="D6" s="8" t="s">
        <v>22</v>
      </c>
      <c r="E6" s="8" t="s">
        <v>23</v>
      </c>
      <c r="F6" s="9" t="n">
        <v>1</v>
      </c>
      <c r="G6" s="10" t="n">
        <v>0</v>
      </c>
      <c r="H6" s="11" t="n">
        <f aca="false">F6*G6</f>
        <v>0.0</v>
      </c>
      <c r="I6" s="8" t="s">
        <v>24</v>
      </c>
    </row>
    <row r="7" customFormat="false" ht="15.75" hidden="false" customHeight="true" outlineLevel="0" collapsed="false">
      <c r="B7" s="4" t="s">
        <v>25</v>
      </c>
      <c r="C7" s="4" t="s">
        <v>26</v>
      </c>
      <c r="D7" s="4" t="inlineStr">
        <is>
          <t xml:space="preserve">tinku.site (Namecheap)</t>
        </is>
      </c>
      <c r="E7" s="4" t="s">
        <v>28</v>
      </c>
      <c r="F7" s="5" t="n">
        <v>1</v>
      </c>
      <c r="G7" s="6" t="n">
        <v>3</v>
      </c>
      <c r="H7" s="7" t="n">
        <f aca="false">F7*G7</f>
        <v>3.0</v>
      </c>
      <c r="I7" s="4" t="inlineStr">
        <is>
          <t xml:space="preserve">Monto efectivamente pagado</t>
        </is>
      </c>
    </row>
    <row r="8" customFormat="false" ht="15.75" hidden="false" customHeight="true" outlineLevel="0" collapsed="false">
      <c r="B8" s="4" t="s">
        <v>29</v>
      </c>
      <c r="C8" s="4" t="s">
        <v>30</v>
      </c>
      <c r="D8" s="4" t="inlineStr">
        <is>
          <t xml:space="preserve">TyC, privacidad (Ley 25.326) y criterio de rechazo por antecedentes (CAP)</t>
        </is>
      </c>
      <c r="E8" s="4" t="s">
        <v>32</v>
      </c>
      <c r="F8" s="5" t="n">
        <v>1</v>
      </c>
      <c r="G8" s="6" t="n">
        <v>800</v>
      </c>
      <c r="H8" s="7" t="n">
        <f aca="false">F8*G8</f>
        <v>800.0</v>
      </c>
      <c r="I8" s="4" t="s">
        <v>32</v>
      </c>
    </row>
    <row r="9" customFormat="false" ht="51.75" hidden="false" customHeight="true" outlineLevel="0" collapsed="false">
      <c r="B9" s="12" t="s">
        <v>33</v>
      </c>
      <c r="C9" s="12" t="s">
        <v>34</v>
      </c>
      <c r="D9" s="12" t="inlineStr">
        <is>
          <t xml:space="preserve">10% del trabajo del lanzamiento</t>
        </is>
      </c>
      <c r="E9" s="12" t="inlineStr">
        <is>
          <t xml:space="preserve">10% de H2:H4</t>
        </is>
      </c>
      <c r="F9" s="13" t="n">
        <v>1</v>
      </c>
      <c r="G9" s="14" t="n">
        <f aca="false">0.1*SUM(H2:H4)</f>
        <v>326.5882352941177</v>
      </c>
      <c r="H9" s="14" t="n">
        <f aca="false">F9*G9</f>
        <v>326.5882352941177</v>
      </c>
      <c r="I9" s="12" t="inlineStr">
        <is>
          <t xml:space="preserve">Retrabajo y subestimación de las tareas pendientes</t>
        </is>
      </c>
    </row>
    <row r="10" customFormat="false" ht="15.75" hidden="false" customHeight="true" outlineLevel="0" collapsed="false">
      <c r="B10" s="15"/>
      <c r="C10" s="16" t="inlineStr">
        <is>
          <t xml:space="preserve">TOTAL INVERSIÓN INCREMENTAL</t>
        </is>
      </c>
      <c r="D10" s="15"/>
      <c r="E10" s="15"/>
      <c r="F10" s="15"/>
      <c r="G10" s="15"/>
      <c r="H10" s="17" t="n">
        <f aca="false">SUM(H2:H9)</f>
        <v>4395.470588235294</v>
      </c>
      <c r="I10" s="15"/>
    </row>
    <row r="16" customFormat="false" ht="15.75" hidden="false" customHeight="true" outlineLevel="0" collapsed="false">
      <c r="F16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34"/>
    <col collapsed="false" customWidth="true" hidden="false" outlineLevel="0" max="9" min="5" style="1" width="13"/>
    <col collapsed="false" customWidth="true" hidden="false" outlineLevel="0" max="10" min="10" style="1" width="46"/>
    <col collapsed="false" customWidth="true" hidden="false" outlineLevel="0" max="12" min="11" style="1" width="10"/>
  </cols>
  <sheetData>
    <row r="1" customFormat="false" ht="26.25" hidden="false" customHeight="true" outlineLevel="0" collapsed="false">
      <c r="A1" s="19"/>
      <c r="B1" s="3" t="s">
        <v>1</v>
      </c>
      <c r="C1" s="3" t="s">
        <v>2</v>
      </c>
      <c r="D1" s="3" t="s">
        <v>3</v>
      </c>
      <c r="E1" s="3" t="s">
        <v>39</v>
      </c>
      <c r="F1" s="3" t="s">
        <v>40</v>
      </c>
      <c r="G1" s="3" t="s">
        <v>41</v>
      </c>
      <c r="H1" s="3" t="s">
        <v>42</v>
      </c>
      <c r="I1" s="3" t="s">
        <v>43</v>
      </c>
      <c r="J1" s="3" t="s">
        <v>8</v>
      </c>
      <c r="K1" s="20"/>
    </row>
    <row r="2" customFormat="false" ht="15.75" hidden="false" customHeight="true" outlineLevel="0" collapsed="false">
      <c r="A2" s="19"/>
      <c r="B2" s="4" t="s">
        <v>20</v>
      </c>
      <c r="C2" s="4" t="s">
        <v>44</v>
      </c>
      <c r="D2" s="4" t="s">
        <v>45</v>
      </c>
      <c r="E2" s="6" t="n">
        <v>45</v>
      </c>
      <c r="F2" s="6" t="n">
        <v>45</v>
      </c>
      <c r="G2" s="6" t="n">
        <v>50</v>
      </c>
      <c r="H2" s="6" t="n">
        <v>55</v>
      </c>
      <c r="I2" s="6" t="n">
        <v>60</v>
      </c>
      <c r="J2" s="4" t="s">
        <v>46</v>
      </c>
      <c r="K2" s="21"/>
      <c r="L2" s="22"/>
    </row>
    <row r="3" customFormat="false" ht="15.75" hidden="false" customHeight="true" outlineLevel="0" collapsed="false">
      <c r="A3" s="19"/>
      <c r="B3" s="4" t="s">
        <v>20</v>
      </c>
      <c r="C3" s="4" t="inlineStr">
        <is>
          <t xml:space="preserve">Servidor de aplicación (VPS)</t>
        </is>
      </c>
      <c r="D3" s="4" t="inlineStr">
        <is>
          <t xml:space="preserve">DigitalOcean Basic 2 vCPU / 4 GB</t>
        </is>
      </c>
      <c r="E3" s="6" t="n">
        <v>24</v>
      </c>
      <c r="F3" s="6" t="n">
        <v>24</v>
      </c>
      <c r="G3" s="6" t="n">
        <v>24</v>
      </c>
      <c r="H3" s="6" t="n">
        <v>24</v>
      </c>
      <c r="I3" s="6" t="n">
        <v>24</v>
      </c>
      <c r="J3" s="4" t="inlineStr">
        <is>
          <t xml:space="preserve">Backend Spring Boot + matching-service. Planes económicos de Hetzner sin stock y con dos aumentos en 2026 (tarifa pública, sep-2026)</t>
        </is>
      </c>
      <c r="K3" s="21"/>
      <c r="L3" s="22"/>
    </row>
    <row r="4" customFormat="false" ht="26.25" hidden="false" customHeight="true" outlineLevel="0" collapsed="false">
      <c r="A4" s="19"/>
      <c r="B4" s="4" t="s">
        <v>20</v>
      </c>
      <c r="C4" s="4" t="s">
        <v>47</v>
      </c>
      <c r="D4" s="4" t="s">
        <v>48</v>
      </c>
      <c r="E4" s="6" t="n">
        <v>60</v>
      </c>
      <c r="F4" s="6" t="n">
        <v>60</v>
      </c>
      <c r="G4" s="6" t="n">
        <v>65</v>
      </c>
      <c r="H4" s="6" t="n">
        <v>70</v>
      </c>
      <c r="I4" s="6" t="n">
        <v>75</v>
      </c>
      <c r="J4" s="4" t="s">
        <v>49</v>
      </c>
      <c r="K4" s="21"/>
      <c r="L4" s="22"/>
    </row>
    <row r="5" customFormat="false" ht="39" hidden="false" customHeight="true" outlineLevel="0" collapsed="false">
      <c r="A5" s="19"/>
      <c r="B5" s="4" t="s">
        <v>50</v>
      </c>
      <c r="C5" s="4" t="inlineStr">
        <is>
          <t xml:space="preserve">Asistente conceptual LLM (base)</t>
        </is>
      </c>
      <c r="D5" s="4" t="inlineStr">
        <is>
          <t xml:space="preserve">Asistente de repaso y overhead por reintentos</t>
        </is>
      </c>
      <c r="E5" s="6" t="n">
        <v>55</v>
      </c>
      <c r="F5" s="6" t="n">
        <v>55</v>
      </c>
      <c r="G5" s="6" t="n">
        <v>60</v>
      </c>
      <c r="H5" s="6" t="n">
        <v>65</v>
      </c>
      <c r="I5" s="6" t="n">
        <v>70</v>
      </c>
      <c r="J5" s="4" t="s">
        <v>49</v>
      </c>
      <c r="K5" s="21"/>
      <c r="L5" s="22"/>
    </row>
    <row r="6" customFormat="false" ht="26.25" hidden="false" customHeight="true" outlineLevel="0" collapsed="false">
      <c r="A6" s="19"/>
      <c r="B6" s="4" t="s">
        <v>53</v>
      </c>
      <c r="C6" s="4" t="s">
        <v>54</v>
      </c>
      <c r="D6" s="4" t="s">
        <v>55</v>
      </c>
      <c r="E6" s="6" t="n">
        <v>150</v>
      </c>
      <c r="F6" s="6" t="n">
        <v>150</v>
      </c>
      <c r="G6" s="6" t="n">
        <v>150</v>
      </c>
      <c r="H6" s="6" t="n">
        <v>150</v>
      </c>
      <c r="I6" s="6" t="n">
        <v>150</v>
      </c>
      <c r="J6" s="4" t="s">
        <v>56</v>
      </c>
    </row>
    <row r="7" customFormat="false" ht="26.25" hidden="false" customHeight="true" outlineLevel="0" collapsed="false">
      <c r="A7" s="19"/>
      <c r="B7" s="4" t="s">
        <v>25</v>
      </c>
      <c r="C7" s="4" t="s">
        <v>57</v>
      </c>
      <c r="D7" s="4" t="inlineStr">
        <is>
          <t xml:space="preserve">Renovación .com.ar: $8.500/año (NIC Argentina) / BNA $1.535 / 12</t>
        </is>
      </c>
      <c r="E7" s="23" t="n">
        <f aca="false">8500/1535/12</f>
        <v>0.46145494028230183</v>
      </c>
      <c r="F7" s="23" t="n">
        <f aca="false">8500/1535/12</f>
        <v>0.46145494028230183</v>
      </c>
      <c r="G7" s="23" t="n">
        <f aca="false">8500/1535/12</f>
        <v>0.46145494028230183</v>
      </c>
      <c r="H7" s="23" t="n">
        <f aca="false">8500/1535/12</f>
        <v>0.46145494028230183</v>
      </c>
      <c r="I7" s="23" t="n">
        <f aca="false">8500/1535/12</f>
        <v>0.46145494028230183</v>
      </c>
      <c r="J7" s="4"/>
    </row>
    <row r="8" customFormat="false" ht="15.75" hidden="false" customHeight="true" outlineLevel="0" collapsed="false">
      <c r="A8" s="19"/>
      <c r="B8" s="4" t="s">
        <v>59</v>
      </c>
      <c r="C8" s="4" t="s">
        <v>60</v>
      </c>
      <c r="D8" s="4" t="s">
        <v>61</v>
      </c>
      <c r="E8" s="6" t="n">
        <v>40</v>
      </c>
      <c r="F8" s="6" t="n">
        <v>50</v>
      </c>
      <c r="G8" s="6" t="n">
        <v>60</v>
      </c>
      <c r="H8" s="6" t="n">
        <v>70</v>
      </c>
      <c r="I8" s="6" t="n">
        <v>80</v>
      </c>
      <c r="J8" s="4" t="s">
        <v>62</v>
      </c>
    </row>
    <row r="9" customFormat="false" ht="26.25" hidden="false" customHeight="true" outlineLevel="0" collapsed="false">
      <c r="A9" s="19"/>
      <c r="B9" s="8"/>
      <c r="C9" s="24" t="s">
        <v>63</v>
      </c>
      <c r="D9" s="8"/>
      <c r="E9" s="25" t="n">
        <f aca="false">E2+E3+E4+E5+E6+E7+E8</f>
        <v>374.4614549402823</v>
      </c>
      <c r="F9" s="25" t="n">
        <f aca="false">F2+F3+F4+F5+F6+F7+F8</f>
        <v>384.4614549402823</v>
      </c>
      <c r="G9" s="25" t="n">
        <f aca="false">G2+G3+G4+G5+G6+G7+G8</f>
        <v>409.4614549402823</v>
      </c>
      <c r="H9" s="25" t="n">
        <f aca="false">H2+H3+H4+H5+H6+H7+H8</f>
        <v>434.4614549402823</v>
      </c>
      <c r="I9" s="25" t="n">
        <f aca="false">I2+I3+I4+I5+I6+I7+I8</f>
        <v>459.4614549402823</v>
      </c>
      <c r="J9" s="8"/>
    </row>
    <row r="10" customFormat="false" ht="15.75" hidden="false" customHeight="true" outlineLevel="0" collapsed="false">
      <c r="B10" s="8"/>
      <c r="C10" s="24" t="s">
        <v>64</v>
      </c>
      <c r="D10" s="8"/>
      <c r="E10" s="25" t="n">
        <f aca="false">E9*12</f>
        <v>4493.537459283388</v>
      </c>
      <c r="F10" s="25" t="n">
        <f aca="false">F9*12</f>
        <v>4613.537459283388</v>
      </c>
      <c r="G10" s="25" t="n">
        <f aca="false">G9*12</f>
        <v>4913.537459283388</v>
      </c>
      <c r="H10" s="25" t="n">
        <f aca="false">H9*12</f>
        <v>5213.537459283388</v>
      </c>
      <c r="I10" s="25" t="n">
        <f aca="false">I9*12</f>
        <v>5513.537459283388</v>
      </c>
      <c r="J10" s="8"/>
    </row>
    <row r="11" customFormat="false" ht="15.75" hidden="false" customHeight="true" outlineLevel="0" collapsed="false">
      <c r="B11" s="26"/>
      <c r="C11" s="26"/>
      <c r="D11" s="26"/>
      <c r="E11" s="27"/>
      <c r="F11" s="27"/>
      <c r="G11" s="27"/>
      <c r="H11" s="27"/>
      <c r="I11" s="27"/>
      <c r="J11" s="26"/>
    </row>
    <row r="12" customFormat="false" ht="26.25" hidden="false" customHeight="true" outlineLevel="0" collapsed="false">
      <c r="B12" s="4"/>
      <c r="C12" s="4"/>
      <c r="D12" s="4"/>
      <c r="E12" s="7"/>
      <c r="F12" s="7"/>
      <c r="G12" s="7"/>
      <c r="H12" s="7"/>
      <c r="I12" s="7"/>
      <c r="J12" s="4"/>
    </row>
    <row r="13" customFormat="false" ht="26.25" hidden="false" customHeight="true" outlineLevel="0" collapsed="false">
      <c r="B13" s="26"/>
      <c r="C13" s="26"/>
      <c r="D13" s="26"/>
      <c r="E13" s="27"/>
      <c r="F13" s="27"/>
      <c r="G13" s="27"/>
      <c r="H13" s="27"/>
      <c r="I13" s="27"/>
      <c r="J13" s="26"/>
    </row>
    <row r="14" customFormat="false" ht="26.25" hidden="false" customHeight="true" outlineLevel="0" collapsed="false">
      <c r="B14" s="4"/>
      <c r="C14" s="4"/>
      <c r="D14" s="4"/>
      <c r="E14" s="7"/>
      <c r="F14" s="7"/>
      <c r="G14" s="7"/>
      <c r="H14" s="7"/>
      <c r="I14" s="7"/>
      <c r="J14" s="4"/>
    </row>
    <row r="15" customFormat="false" ht="26.25" hidden="false" customHeight="true" outlineLevel="0" collapsed="false">
      <c r="B15" s="15"/>
      <c r="C15" s="16"/>
      <c r="D15" s="15"/>
      <c r="E15" s="17"/>
      <c r="F15" s="17"/>
      <c r="G15" s="17"/>
      <c r="H15" s="17"/>
      <c r="I15" s="17"/>
      <c r="J15" s="15"/>
    </row>
    <row r="16" customFormat="false" ht="26.25" hidden="false" customHeight="true" outlineLevel="0" collapsed="false">
      <c r="B16" s="15"/>
      <c r="C16" s="16"/>
      <c r="D16" s="15"/>
      <c r="E16" s="17"/>
      <c r="F16" s="17"/>
      <c r="G16" s="17"/>
      <c r="H16" s="17"/>
      <c r="I16" s="17"/>
      <c r="J16" s="15"/>
    </row>
    <row r="17" customFormat="false" ht="15.75" hidden="false" customHeight="true" outlineLevel="0" collapsed="false"/>
    <row r="18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3.13"/>
    <col collapsed="false" customWidth="true" hidden="false" outlineLevel="0" max="2" min="2" style="1" width="26"/>
    <col collapsed="false" customWidth="true" hidden="false" outlineLevel="0" max="3" min="3" style="1" width="32"/>
    <col collapsed="false" customWidth="true" hidden="false" outlineLevel="0" max="4" min="4" style="1" width="38"/>
    <col collapsed="false" customWidth="true" hidden="false" outlineLevel="0" max="5" min="5" style="1" width="16"/>
    <col collapsed="false" customWidth="true" hidden="false" outlineLevel="0" max="7" min="6" style="1" width="14"/>
    <col collapsed="false" customWidth="true" hidden="false" outlineLevel="0" max="8" min="8" style="1" width="48"/>
  </cols>
  <sheetData>
    <row r="1" customFormat="false" ht="26.25" hidden="false" customHeight="true" outlineLevel="0" collapsed="false">
      <c r="A1" s="19"/>
      <c r="B1" s="3" t="s">
        <v>1</v>
      </c>
      <c r="C1" s="3" t="s">
        <v>2</v>
      </c>
      <c r="D1" s="3" t="s">
        <v>3</v>
      </c>
      <c r="E1" s="3" t="s">
        <v>4</v>
      </c>
      <c r="F1" s="3" t="s">
        <v>65</v>
      </c>
      <c r="G1" s="3" t="s">
        <v>66</v>
      </c>
      <c r="H1" s="3" t="s">
        <v>8</v>
      </c>
    </row>
    <row r="2" customFormat="false" ht="26.25" hidden="false" customHeight="true" outlineLevel="0" collapsed="false">
      <c r="A2" s="19"/>
      <c r="B2" s="4" t="s">
        <v>67</v>
      </c>
      <c r="C2" s="4" t="s">
        <v>68</v>
      </c>
      <c r="D2" s="4" t="s">
        <v>69</v>
      </c>
      <c r="E2" s="4" t="s">
        <v>70</v>
      </c>
      <c r="F2" s="28" t="n">
        <v>0.27</v>
      </c>
      <c r="G2" s="29" t="n">
        <f aca="false">F2</f>
        <v>0.27</v>
      </c>
      <c r="H2" s="4" t="s">
        <v>71</v>
      </c>
    </row>
    <row r="3" customFormat="false" ht="15.75" hidden="false" customHeight="true" outlineLevel="0" collapsed="false">
      <c r="A3" s="19"/>
      <c r="B3" s="4" t="s">
        <v>67</v>
      </c>
      <c r="C3" s="4" t="inlineStr">
        <is>
          <t xml:space="preserve">Ticket Promedio por Sesión</t>
        </is>
      </c>
      <c r="D3" s="4" t="inlineStr">
        <is>
          <t xml:space="preserve">Precio por hora (mediana de la encuesta, USD 4,56) x duración promedio / 60</t>
        </is>
      </c>
      <c r="E3" s="4" t="s">
        <v>74</v>
      </c>
      <c r="F3" s="23" t="n">
        <f aca="false">ROUND(4.56*F7/60,2)</f>
        <v>3.88</v>
      </c>
      <c r="G3" s="30" t="n">
        <f aca="false">F3</f>
        <v>3.88</v>
      </c>
      <c r="H3" s="4" t="inlineStr">
        <is>
          <t xml:space="preserve">Piso de USD 4/h. Mediana de disposición a pagar de la encuesta (n=88), convertida con BNA vendedor $1.535/USD al 09/09/2026</t>
        </is>
      </c>
    </row>
    <row r="4" customFormat="false" ht="15.75" hidden="false" customHeight="true" outlineLevel="0" collapsed="false">
      <c r="A4" s="19"/>
      <c r="B4" s="4" t="s">
        <v>67</v>
      </c>
      <c r="C4" s="4" t="s">
        <v>75</v>
      </c>
      <c r="D4" s="4" t="s">
        <v>76</v>
      </c>
      <c r="E4" s="4" t="s">
        <v>74</v>
      </c>
      <c r="F4" s="30" t="n">
        <f aca="false">F3*F2</f>
        <v>1.0476</v>
      </c>
      <c r="G4" s="30" t="n">
        <f aca="false">F4</f>
        <v>1.0476</v>
      </c>
      <c r="H4" s="4"/>
    </row>
    <row r="5" customFormat="false" ht="39" hidden="false" customHeight="true" outlineLevel="0" collapsed="false">
      <c r="B5" s="31" t="s">
        <v>77</v>
      </c>
      <c r="C5" s="31" t="s">
        <v>78</v>
      </c>
      <c r="D5" s="31" t="s">
        <v>79</v>
      </c>
      <c r="E5" s="31" t="s">
        <v>80</v>
      </c>
      <c r="F5" s="32" t="n">
        <v>60</v>
      </c>
      <c r="G5" s="33" t="n">
        <f aca="false">F5</f>
        <v>60.0</v>
      </c>
      <c r="H5" s="31" t="s">
        <v>81</v>
      </c>
    </row>
    <row r="6" customFormat="false" ht="15.75" hidden="false" customHeight="true" outlineLevel="0" collapsed="false">
      <c r="B6" s="31" t="s">
        <v>77</v>
      </c>
      <c r="C6" s="31" t="s">
        <v>82</v>
      </c>
      <c r="D6" s="31" t="s">
        <v>83</v>
      </c>
      <c r="E6" s="31" t="s">
        <v>84</v>
      </c>
      <c r="F6" s="34" t="n">
        <v>0.3</v>
      </c>
      <c r="G6" s="35" t="n">
        <f aca="false">F6</f>
        <v>0.3</v>
      </c>
      <c r="H6" s="31" t="s">
        <v>85</v>
      </c>
    </row>
    <row r="7" customFormat="false" ht="26.25" hidden="false" customHeight="true" outlineLevel="0" collapsed="false">
      <c r="B7" s="31" t="s">
        <v>77</v>
      </c>
      <c r="C7" s="31" t="s">
        <v>86</v>
      </c>
      <c r="D7" s="31" t="s">
        <v>87</v>
      </c>
      <c r="E7" s="31" t="s">
        <v>80</v>
      </c>
      <c r="F7" s="36" t="n">
        <f aca="false">$F$5*(1-$F$6)+30*$F$6</f>
        <v>51.0</v>
      </c>
      <c r="G7" s="33" t="n">
        <f aca="false">F7</f>
        <v>51.0</v>
      </c>
      <c r="H7" s="31" t="s">
        <v>88</v>
      </c>
    </row>
    <row r="8" customFormat="false" ht="26.25" hidden="false" customHeight="true" outlineLevel="0" collapsed="false">
      <c r="B8" s="31" t="s">
        <v>77</v>
      </c>
      <c r="C8" s="31" t="inlineStr">
        <is>
          <t xml:space="preserve">Costo del Resumen Opcional por Hora de Audio</t>
        </is>
      </c>
      <c r="D8" s="31" t="inlineStr">
        <is>
          <t xml:space="preserve">Egress solo audio LiveKit (USD 0,005/min x 60) + Gemini 3.5 Flash-Lite (32 tokens/s x 3.600 s x USD 0,30/M)</t>
        </is>
      </c>
      <c r="E8" s="31" t="s">
        <v>91</v>
      </c>
      <c r="F8" s="37" t="n">
        <f aca="false">0.005*60+32*3600*0.3/1000000</f>
        <v>0.33455999999999997</v>
      </c>
      <c r="G8" s="38" t="n">
        <f aca="false">F8</f>
        <v>0.33455999999999997</v>
      </c>
      <c r="H8" s="31" t="inlineStr">
        <is>
          <t xml:space="preserve">Tarifas públicas de LiveKit Cloud y Gemini API, sep-2026</t>
        </is>
      </c>
    </row>
    <row r="9" customFormat="false" ht="26.25" hidden="false" customHeight="true" outlineLevel="0" collapsed="false">
      <c r="B9" s="4" t="s">
        <v>77</v>
      </c>
      <c r="C9" s="4" t="inlineStr">
        <is>
          <t xml:space="preserve">Costo del Resumen Opcional por Sesión</t>
        </is>
      </c>
      <c r="D9" s="4" t="inlineStr">
        <is>
          <t xml:space="preserve">Costo/hora x duración promedio / 60 + salida (~1.500 tokens x USD 2,50/M)</t>
        </is>
      </c>
      <c r="E9" s="4" t="s">
        <v>74</v>
      </c>
      <c r="F9" s="23" t="n">
        <f aca="false">$F$8*($F$7/60)+1500*2.5/1000000</f>
        <v>0.28812599999999994</v>
      </c>
      <c r="G9" s="30" t="n">
        <f aca="false">F9</f>
        <v>0.28812599999999994</v>
      </c>
      <c r="H9" s="4" t="inlineStr">
        <is>
          <t xml:space="preserve">Se cobra aparte como adicional opcional (filas 14 a 16)</t>
        </is>
      </c>
    </row>
    <row r="10" customFormat="false" ht="52.2" hidden="false" customHeight="false" outlineLevel="0" collapsed="false">
      <c r="B10" s="12" t="s">
        <v>96</v>
      </c>
      <c r="C10" s="12" t="s">
        <v>97</v>
      </c>
      <c r="D10" s="12" t="s">
        <v>98</v>
      </c>
      <c r="E10" s="12" t="s">
        <v>70</v>
      </c>
      <c r="F10" s="39" t="n">
        <v>0.0604</v>
      </c>
      <c r="G10" s="40" t="n">
        <f aca="false">F10</f>
        <v>0.0604</v>
      </c>
      <c r="H10" s="12" t="s">
        <v>99</v>
      </c>
    </row>
    <row r="11" customFormat="false" ht="26.85" hidden="false" customHeight="false" outlineLevel="0" collapsed="false">
      <c r="B11" s="4" t="s">
        <v>96</v>
      </c>
      <c r="C11" s="4" t="s">
        <v>100</v>
      </c>
      <c r="D11" s="4" t="s">
        <v>101</v>
      </c>
      <c r="E11" s="4" t="s">
        <v>74</v>
      </c>
      <c r="F11" s="30" t="n">
        <f aca="false">F3*F10</f>
        <v>0.234352</v>
      </c>
      <c r="G11" s="30" t="n">
        <f aca="false">F11</f>
        <v>0.234352</v>
      </c>
      <c r="H11" s="4"/>
    </row>
    <row r="12" customFormat="false" ht="26.85" hidden="false" customHeight="false" outlineLevel="0" collapsed="false">
      <c r="B12" s="4" t="s">
        <v>67</v>
      </c>
      <c r="C12" s="4" t="s">
        <v>102</v>
      </c>
      <c r="D12" s="4" t="inlineStr">
        <is>
          <t xml:space="preserve">Comisión bruta - costo pasarela de pago + margen del resumen opcional</t>
        </is>
      </c>
      <c r="E12" s="4" t="s">
        <v>74</v>
      </c>
      <c r="F12" s="30" t="n">
        <f aca="false">F4-F11+F16</f>
        <v>0.8859176000000001</v>
      </c>
      <c r="G12" s="30" t="n">
        <f aca="false">F12</f>
        <v>0.8859176000000001</v>
      </c>
      <c r="H12" s="4" t="s">
        <v>104</v>
      </c>
    </row>
    <row r="13" customFormat="false" ht="26.85" hidden="false" customHeight="false" outlineLevel="0" collapsed="false">
      <c r="B13" s="4" t="s">
        <v>96</v>
      </c>
      <c r="C13" s="4" t="s">
        <v>105</v>
      </c>
      <c r="D13" s="4" t="s">
        <v>106</v>
      </c>
      <c r="E13" s="4" t="s">
        <v>70</v>
      </c>
      <c r="F13" s="4" t="s">
        <v>107</v>
      </c>
      <c r="G13" s="4" t="s">
        <v>107</v>
      </c>
      <c r="H13" s="4" t="s">
        <v>108</v>
      </c>
    </row>
    <row r="14" customFormat="false" ht="26.85" hidden="false" customHeight="false" outlineLevel="0" collapsed="false">
      <c r="B14" s="4" t="inlineStr">
        <is>
          <t xml:space="preserve">Monetización</t>
        </is>
      </c>
      <c r="C14" s="4" t="inlineStr">
        <is>
          <t xml:space="preserve">Precio del Resumen Opcional</t>
        </is>
      </c>
      <c r="D14" s="4" t="inlineStr">
        <is>
          <t xml:space="preserve">Adicional por sesión, cobrado al alumno</t>
        </is>
      </c>
      <c r="E14" s="4" t="inlineStr">
        <is>
          <t xml:space="preserve">Por sesión</t>
        </is>
      </c>
      <c r="F14" s="23" t="n">
        <v>0.5</v>
      </c>
      <c r="G14" s="30" t="n">
        <f aca="false">F14</f>
        <v>0.5</v>
      </c>
      <c r="H14" s="4" t="inlineStr">
        <is>
          <t xml:space="preserve">Supuesto: cubre el costo y la pasarela (mínimo USD 0,31)</t>
        </is>
      </c>
    </row>
    <row r="15" customFormat="false" ht="26.85" hidden="false" customHeight="false" outlineLevel="0" collapsed="false">
      <c r="B15" s="4" t="inlineStr">
        <is>
          <t xml:space="preserve">Monetización</t>
        </is>
      </c>
      <c r="C15" s="4" t="inlineStr">
        <is>
          <t xml:space="preserve">Adopción del Resumen Opcional</t>
        </is>
      </c>
      <c r="D15" s="4" t="inlineStr">
        <is>
          <t xml:space="preserve">Proporción de sesiones que lo contratan</t>
        </is>
      </c>
      <c r="E15" s="4" t="inlineStr">
        <is>
          <t xml:space="preserve">% del total</t>
        </is>
      </c>
      <c r="F15" s="23" t="n">
        <v>0.4</v>
      </c>
      <c r="G15" s="30" t="n">
        <f aca="false">F15</f>
        <v>0.4</v>
      </c>
      <c r="H15" s="4" t="inlineStr">
        <is>
          <t xml:space="preserve">Supuesto declarado; el 56,8% de los encuestados valoró la función</t>
        </is>
      </c>
    </row>
    <row r="16" customFormat="false" ht="26.85" hidden="false" customHeight="false" outlineLevel="0" collapsed="false">
      <c r="B16" s="4" t="inlineStr">
        <is>
          <t xml:space="preserve">Monetización</t>
        </is>
      </c>
      <c r="C16" s="4" t="inlineStr">
        <is>
          <t xml:space="preserve">Margen del Resumen por Sesión Promedio</t>
        </is>
      </c>
      <c r="D16" s="4" t="inlineStr">
        <is>
          <t xml:space="preserve">Adopción x (precio x (1 - tasa pasarela) - costo)</t>
        </is>
      </c>
      <c r="E16" s="4" t="inlineStr">
        <is>
          <t xml:space="preserve">Por clase</t>
        </is>
      </c>
      <c r="F16" s="30" t="n">
        <f aca="false">F15*(F14*(1-F10)-F9)</f>
        <v>0.07266960000000003</v>
      </c>
      <c r="G16" s="30" t="n">
        <f aca="false">F16</f>
        <v>0.07266960000000003</v>
      </c>
      <c r="H16" s="4" t="inlineStr">
        <is>
          <t xml:space="preserve">Se suma al margen neto por sesión</t>
        </is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3.13"/>
    <col collapsed="false" customWidth="true" hidden="false" outlineLevel="0" max="2" min="2" style="1" width="14"/>
    <col collapsed="false" customWidth="true" hidden="false" outlineLevel="0" max="3" min="3" style="1" width="26"/>
    <col collapsed="false" customWidth="true" hidden="false" outlineLevel="0" max="8" min="4" style="1" width="13"/>
  </cols>
  <sheetData>
    <row r="1" customFormat="false" ht="15.75" hidden="false" customHeight="true" outlineLevel="0" collapsed="false">
      <c r="B1" s="41" t="s">
        <v>109</v>
      </c>
      <c r="C1" s="41"/>
      <c r="D1" s="41"/>
      <c r="E1" s="41"/>
      <c r="F1" s="41"/>
      <c r="G1" s="41"/>
      <c r="H1" s="19"/>
    </row>
    <row r="2" customFormat="false" ht="30" hidden="false" customHeight="true" outlineLevel="0" collapsed="false">
      <c r="A2" s="19"/>
      <c r="B2" s="42" t="s">
        <v>110</v>
      </c>
      <c r="C2" s="42"/>
      <c r="D2" s="42"/>
      <c r="E2" s="42"/>
      <c r="F2" s="42"/>
      <c r="G2" s="42"/>
      <c r="H2" s="42"/>
    </row>
    <row r="3" customFormat="false" ht="15.75" hidden="false" customHeight="true" outlineLevel="0" collapsed="false">
      <c r="A3" s="19"/>
      <c r="B3" s="21" t="s">
        <v>111</v>
      </c>
      <c r="C3" s="19"/>
      <c r="D3" s="19"/>
      <c r="E3" s="19"/>
      <c r="F3" s="43" t="n">
        <v>3</v>
      </c>
      <c r="G3" s="19"/>
      <c r="H3" s="19"/>
    </row>
    <row r="4" customFormat="false" ht="15.75" hidden="false" customHeight="true" outlineLevel="0" collapsed="false">
      <c r="A4" s="19"/>
      <c r="B4" s="21"/>
      <c r="C4" s="19"/>
      <c r="D4" s="19"/>
      <c r="E4" s="19"/>
      <c r="F4" s="44"/>
      <c r="G4" s="19"/>
      <c r="H4" s="19"/>
    </row>
    <row r="5" customFormat="false" ht="15.75" hidden="false" customHeight="true" outlineLevel="0" collapsed="false">
      <c r="A5" s="19"/>
      <c r="B5" s="21"/>
      <c r="C5" s="19"/>
      <c r="D5" s="19"/>
      <c r="E5" s="19"/>
      <c r="F5" s="44"/>
      <c r="G5" s="19"/>
      <c r="H5" s="19"/>
    </row>
    <row r="6" customFormat="false" ht="15.75" hidden="false" customHeight="true" outlineLevel="0" collapsed="false">
      <c r="B6" s="21"/>
      <c r="F6" s="44"/>
    </row>
    <row r="8" customFormat="false" ht="15.75" hidden="false" customHeight="true" outlineLevel="0" collapsed="false">
      <c r="B8" s="3" t="s">
        <v>112</v>
      </c>
      <c r="C8" s="3" t="s">
        <v>113</v>
      </c>
      <c r="D8" s="3" t="s">
        <v>114</v>
      </c>
      <c r="E8" s="3" t="s">
        <v>115</v>
      </c>
      <c r="F8" s="3" t="s">
        <v>116</v>
      </c>
      <c r="G8" s="3" t="s">
        <v>117</v>
      </c>
      <c r="H8" s="3" t="s">
        <v>118</v>
      </c>
    </row>
    <row r="9" customFormat="false" ht="15.75" hidden="false" customHeight="true" outlineLevel="0" collapsed="false">
      <c r="B9" s="45" t="s">
        <v>119</v>
      </c>
      <c r="C9" s="46" t="s">
        <v>120</v>
      </c>
      <c r="D9" s="47" t="n">
        <v>130</v>
      </c>
      <c r="E9" s="47" t="n">
        <v>110</v>
      </c>
      <c r="F9" s="47" t="n">
        <v>160</v>
      </c>
      <c r="G9" s="47" t="n">
        <v>140</v>
      </c>
      <c r="H9" s="47" t="n">
        <v>190</v>
      </c>
    </row>
    <row r="10" customFormat="false" ht="15.75" hidden="false" customHeight="true" outlineLevel="0" collapsed="false">
      <c r="B10" s="48"/>
      <c r="C10" s="46" t="s">
        <v>121</v>
      </c>
      <c r="D10" s="49" t="n">
        <f aca="false">D9*$F$3*12</f>
        <v>4680.0</v>
      </c>
      <c r="E10" s="49" t="n">
        <f aca="false">E9*$F$3*12</f>
        <v>3960.0</v>
      </c>
      <c r="F10" s="49" t="n">
        <f aca="false">F9*$F$3*12</f>
        <v>5760.0</v>
      </c>
      <c r="G10" s="49" t="n">
        <f aca="false">G9*$F$3*12</f>
        <v>5040.0</v>
      </c>
      <c r="H10" s="49" t="n">
        <f aca="false">H9*$F$3*12</f>
        <v>6840.0</v>
      </c>
    </row>
    <row r="12" customFormat="false" ht="15.75" hidden="false" customHeight="true" outlineLevel="0" collapsed="false">
      <c r="B12" s="50" t="s">
        <v>122</v>
      </c>
      <c r="C12" s="51" t="s">
        <v>120</v>
      </c>
      <c r="D12" s="52" t="n">
        <v>200</v>
      </c>
      <c r="E12" s="52" t="n">
        <v>260</v>
      </c>
      <c r="F12" s="52" t="n">
        <v>210</v>
      </c>
      <c r="G12" s="52" t="n">
        <v>290</v>
      </c>
      <c r="H12" s="52" t="n">
        <v>250</v>
      </c>
    </row>
    <row r="13" customFormat="false" ht="15.75" hidden="false" customHeight="true" outlineLevel="0" collapsed="false">
      <c r="B13" s="53"/>
      <c r="C13" s="51" t="s">
        <v>121</v>
      </c>
      <c r="D13" s="54" t="n">
        <f aca="false">D12*$F$3*12</f>
        <v>7200.0</v>
      </c>
      <c r="E13" s="54" t="n">
        <f aca="false">E12*$F$3*12</f>
        <v>9360.0</v>
      </c>
      <c r="F13" s="54" t="n">
        <f aca="false">F12*$F$3*12</f>
        <v>7560.0</v>
      </c>
      <c r="G13" s="54" t="n">
        <f aca="false">G12*$F$3*12</f>
        <v>10440.0</v>
      </c>
      <c r="H13" s="54" t="n">
        <f aca="false">H12*$F$3*12</f>
        <v>9000.0</v>
      </c>
    </row>
    <row r="15" customFormat="false" ht="15.75" hidden="false" customHeight="true" outlineLevel="0" collapsed="false">
      <c r="B15" s="55" t="s">
        <v>123</v>
      </c>
      <c r="C15" s="56" t="s">
        <v>120</v>
      </c>
      <c r="D15" s="57" t="n">
        <v>280</v>
      </c>
      <c r="E15" s="57" t="n">
        <v>420</v>
      </c>
      <c r="F15" s="57" t="n">
        <v>340</v>
      </c>
      <c r="G15" s="57" t="n">
        <v>480</v>
      </c>
      <c r="H15" s="57" t="n">
        <v>400</v>
      </c>
    </row>
    <row r="16" customFormat="false" ht="15.75" hidden="false" customHeight="true" outlineLevel="0" collapsed="false">
      <c r="B16" s="58"/>
      <c r="C16" s="56" t="s">
        <v>121</v>
      </c>
      <c r="D16" s="59" t="n">
        <f aca="false">D15*$F$3*12</f>
        <v>10080.0</v>
      </c>
      <c r="E16" s="59" t="n">
        <f aca="false">E15*$F$3*12</f>
        <v>15120.0</v>
      </c>
      <c r="F16" s="59" t="n">
        <f aca="false">F15*$F$3*12</f>
        <v>12240.0</v>
      </c>
      <c r="G16" s="59" t="n">
        <f aca="false">G15*$F$3*12</f>
        <v>17280.0</v>
      </c>
      <c r="H16" s="59" t="n">
        <f aca="false">H15*$F$3*12</f>
        <v>14400.0</v>
      </c>
    </row>
  </sheetData>
  <mergeCells count="2">
    <mergeCell ref="B1:G1"/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8" min="3" style="1" width="14"/>
    <col collapsed="false" customWidth="true" hidden="false" outlineLevel="0" max="10" min="9" style="1" width="2"/>
    <col collapsed="false" customWidth="true" hidden="false" outlineLevel="0" max="11" min="11" style="1" width="12"/>
    <col collapsed="false" customWidth="true" hidden="false" outlineLevel="0" max="12" min="12" style="1" width="10"/>
  </cols>
  <sheetData>
    <row r="1" customFormat="false" ht="24" hidden="false" customHeight="true" outlineLevel="0" collapsed="false">
      <c r="B1" s="60" t="s">
        <v>124</v>
      </c>
      <c r="C1" s="60"/>
      <c r="D1" s="60"/>
      <c r="E1" s="60"/>
      <c r="F1" s="60"/>
      <c r="G1" s="60"/>
      <c r="H1" s="60"/>
      <c r="I1" s="60"/>
      <c r="J1" s="60"/>
    </row>
    <row r="3" customFormat="false" ht="26.25" hidden="false" customHeight="true" outlineLevel="0" collapsed="false">
      <c r="B3" s="61" t="s">
        <v>125</v>
      </c>
      <c r="F3" s="62" t="n">
        <f aca="false">0.0483+1.55*0.0423+0.0971</f>
        <v>0.210965</v>
      </c>
    </row>
    <row r="4" customFormat="false" ht="15" hidden="false" customHeight="true" outlineLevel="0" collapsed="false">
      <c r="B4" s="61" t="s">
        <v>126</v>
      </c>
      <c r="F4" s="63" t="n">
        <f aca="false">-'Inversión Inicial'!$H$10</f>
        <v>-4395.470588235294</v>
      </c>
    </row>
    <row r="5" customFormat="false" ht="15" hidden="false" customHeight="true" outlineLevel="0" collapsed="false">
      <c r="B5" s="61" t="s">
        <v>127</v>
      </c>
      <c r="F5" s="64" t="n">
        <f aca="false">'Valor de Venta'!$F$12</f>
        <v>0.8859176000000001</v>
      </c>
    </row>
    <row r="6" customFormat="false" ht="15.75" hidden="false" customHeight="true" outlineLevel="0" collapsed="false">
      <c r="B6" s="61" t="inlineStr">
        <is>
          <t xml:space="preserve">Tasa = Tesoro EE.UU. 10 años (4,83%, FRED, 09/09/2026) + beta Software (Internet) 1,55 x ERP maduro 4,23% + riesgo país Argentina 9,71% (Damodaran, enero 2026)</t>
        </is>
      </c>
    </row>
    <row r="8" customFormat="false" ht="15" hidden="false" customHeight="true" outlineLevel="0" collapsed="false">
      <c r="B8" s="65" t="s">
        <v>128</v>
      </c>
      <c r="C8" s="65"/>
      <c r="D8" s="65"/>
      <c r="E8" s="65"/>
      <c r="F8" s="65"/>
      <c r="G8" s="65"/>
      <c r="H8" s="65"/>
    </row>
    <row r="9" customFormat="false" ht="15" hidden="false" customHeight="true" outlineLevel="0" collapsed="false">
      <c r="B9" s="66" t="s">
        <v>129</v>
      </c>
      <c r="C9" s="67" t="s">
        <v>130</v>
      </c>
      <c r="D9" s="67" t="s">
        <v>114</v>
      </c>
      <c r="E9" s="67" t="s">
        <v>115</v>
      </c>
      <c r="F9" s="67" t="s">
        <v>116</v>
      </c>
      <c r="G9" s="67" t="s">
        <v>117</v>
      </c>
      <c r="H9" s="67" t="s">
        <v>118</v>
      </c>
    </row>
    <row r="10" customFormat="false" ht="15" hidden="false" customHeight="true" outlineLevel="0" collapsed="false">
      <c r="B10" s="46" t="s">
        <v>121</v>
      </c>
      <c r="C10" s="49" t="n">
        <v>0</v>
      </c>
      <c r="D10" s="68" t="n">
        <f aca="false">'Estimación de Demanda'!D10</f>
        <v>4680.0</v>
      </c>
      <c r="E10" s="68" t="n">
        <f aca="false">'Estimación de Demanda'!E10</f>
        <v>3960.0</v>
      </c>
      <c r="F10" s="68" t="n">
        <f aca="false">'Estimación de Demanda'!F10</f>
        <v>5760.0</v>
      </c>
      <c r="G10" s="68" t="n">
        <f aca="false">'Estimación de Demanda'!G10</f>
        <v>5040.0</v>
      </c>
      <c r="H10" s="68" t="n">
        <f aca="false">'Estimación de Demanda'!H10</f>
        <v>6840.0</v>
      </c>
    </row>
    <row r="11" customFormat="false" ht="15" hidden="false" customHeight="true" outlineLevel="0" collapsed="false">
      <c r="B11" s="46" t="s">
        <v>131</v>
      </c>
      <c r="C11" s="69" t="n">
        <v>0</v>
      </c>
      <c r="D11" s="70" t="n">
        <f aca="false">D10*$F$5</f>
        <v>4146.094368</v>
      </c>
      <c r="E11" s="70" t="n">
        <f aca="false">E10*$F$5</f>
        <v>3508.2336960000002</v>
      </c>
      <c r="F11" s="70" t="n">
        <f aca="false">F10*$F$5</f>
        <v>5102.885376</v>
      </c>
      <c r="G11" s="70" t="n">
        <f aca="false">G10*$F$5</f>
        <v>4465.024704</v>
      </c>
      <c r="H11" s="70" t="n">
        <f aca="false">H10*$F$5</f>
        <v>6059.676384</v>
      </c>
    </row>
    <row r="12" customFormat="false" ht="15" hidden="false" customHeight="true" outlineLevel="0" collapsed="false">
      <c r="B12" s="46" t="s">
        <v>132</v>
      </c>
      <c r="C12" s="69" t="n">
        <v>0</v>
      </c>
      <c r="D12" s="71" t="n">
        <f aca="false">-'Gastos Post-lanzamiento'!E10</f>
        <v>-4493.537459283388</v>
      </c>
      <c r="E12" s="71" t="n">
        <f aca="false">-'Gastos Post-lanzamiento'!F10</f>
        <v>-4613.537459283388</v>
      </c>
      <c r="F12" s="71" t="n">
        <f aca="false">-'Gastos Post-lanzamiento'!G10</f>
        <v>-4913.537459283388</v>
      </c>
      <c r="G12" s="71" t="n">
        <f aca="false">-'Gastos Post-lanzamiento'!H10</f>
        <v>-5213.537459283388</v>
      </c>
      <c r="H12" s="71" t="n">
        <f aca="false">-'Gastos Post-lanzamiento'!I10</f>
        <v>-5513.537459283388</v>
      </c>
    </row>
    <row r="13" customFormat="false" ht="15" hidden="false" customHeight="true" outlineLevel="0" collapsed="false">
      <c r="B13" s="45" t="s">
        <v>133</v>
      </c>
      <c r="C13" s="72" t="n">
        <f aca="false">$F$4</f>
        <v>-4395.470588235294</v>
      </c>
      <c r="D13" s="72" t="n">
        <f aca="false">D11+D12</f>
        <v>-347.44309128338773</v>
      </c>
      <c r="E13" s="72" t="n">
        <f aca="false">E11+E12</f>
        <v>-1105.3037632833875</v>
      </c>
      <c r="F13" s="72" t="n">
        <f aca="false">F11+F12</f>
        <v>189.34791671661242</v>
      </c>
      <c r="G13" s="72" t="n">
        <f aca="false">G11+G12</f>
        <v>-748.5127552833874</v>
      </c>
      <c r="H13" s="72" t="n">
        <f aca="false">H11+H12</f>
        <v>546.1389247166126</v>
      </c>
    </row>
    <row r="14" customFormat="false" ht="15" hidden="false" customHeight="true" outlineLevel="0" collapsed="false">
      <c r="B14" s="46" t="s">
        <v>134</v>
      </c>
      <c r="C14" s="69" t="n">
        <f aca="false">C13</f>
        <v>-4395.470588235294</v>
      </c>
      <c r="D14" s="70" t="n">
        <f aca="false">C14+D13</f>
        <v>-4742.913679518681</v>
      </c>
      <c r="E14" s="70" t="n">
        <f aca="false">D14+E13</f>
        <v>-5848.217442802069</v>
      </c>
      <c r="F14" s="70" t="n">
        <f aca="false">E14+F13</f>
        <v>-5658.8695260854565</v>
      </c>
      <c r="G14" s="70" t="n">
        <f aca="false">F14+G13</f>
        <v>-6407.382281368844</v>
      </c>
      <c r="H14" s="70" t="n">
        <f aca="false">G14+H13</f>
        <v>-5861.243356652231</v>
      </c>
    </row>
    <row r="15" customFormat="false" ht="15" hidden="false" customHeight="true" outlineLevel="0" collapsed="false">
      <c r="B15" s="46" t="s">
        <v>135</v>
      </c>
      <c r="C15" s="70" t="n">
        <f aca="false">C13/(1+$F$3)^0</f>
        <v>-4395.470588235294</v>
      </c>
      <c r="D15" s="70" t="n">
        <f aca="false">D13/(1+$F$3)^1</f>
        <v>-286.91423062052803</v>
      </c>
      <c r="E15" s="70" t="n">
        <f aca="false">E13/(1+$F$3)^2</f>
        <v>-753.7346253100025</v>
      </c>
      <c r="F15" s="70" t="n">
        <f aca="false">F13/(1+$F$3)^3</f>
        <v>106.62664832105092</v>
      </c>
      <c r="G15" s="70" t="n">
        <f aca="false">G13/(1+$F$3)^4</f>
        <v>-348.07500743806816</v>
      </c>
      <c r="H15" s="70" t="n">
        <f aca="false">H13/(1+$F$3)^5</f>
        <v>209.72257211684763</v>
      </c>
    </row>
    <row r="16" customFormat="false" ht="15" hidden="false" customHeight="true" outlineLevel="0" collapsed="false">
      <c r="B16" s="46" t="s">
        <v>136</v>
      </c>
      <c r="C16" s="69" t="n">
        <f aca="false">C15</f>
        <v>-4395.470588235294</v>
      </c>
      <c r="D16" s="70" t="n">
        <f aca="false">C16+D15</f>
        <v>-4682.384818855821</v>
      </c>
      <c r="E16" s="70" t="n">
        <f aca="false">D16+E15</f>
        <v>-5436.119444165824</v>
      </c>
      <c r="F16" s="70" t="n">
        <f aca="false">E16+F15</f>
        <v>-5329.492795844772</v>
      </c>
      <c r="G16" s="70" t="n">
        <f aca="false">F16+G15</f>
        <v>-5677.567803282841</v>
      </c>
      <c r="H16" s="70" t="n">
        <f aca="false">G16+H15</f>
        <v>-5467.845231165993</v>
      </c>
    </row>
    <row r="18" customFormat="false" ht="15" hidden="false" customHeight="true" outlineLevel="0" collapsed="false">
      <c r="B18" s="73" t="s">
        <v>137</v>
      </c>
      <c r="C18" s="73"/>
      <c r="D18" s="73"/>
      <c r="E18" s="73"/>
      <c r="F18" s="73"/>
      <c r="G18" s="73"/>
      <c r="H18" s="73"/>
    </row>
    <row r="19" customFormat="false" ht="15" hidden="false" customHeight="true" outlineLevel="0" collapsed="false">
      <c r="B19" s="46" t="s">
        <v>138</v>
      </c>
      <c r="C19" s="48"/>
      <c r="D19" s="72" t="n">
        <f aca="false">NPV($F$3,D13:H13)+C13</f>
        <v>-5467.845231165994</v>
      </c>
    </row>
    <row r="20" customFormat="false" ht="15" hidden="false" customHeight="true" outlineLevel="0" collapsed="false">
      <c r="B20" s="46" t="s">
        <v>139</v>
      </c>
      <c r="C20" s="48"/>
      <c r="D20" s="74" t="n">
        <f aca="false">IFERROR(IRR(C13:H13),"N/A")</f>
        <v>-0.5285579520312522</v>
      </c>
    </row>
    <row r="21" customFormat="false" ht="15" hidden="false" customHeight="true" outlineLevel="0" collapsed="false">
      <c r="B21" s="46" t="s">
        <v>140</v>
      </c>
      <c r="C21" s="48"/>
      <c r="D21" s="75" t="str">
        <f aca="false">IF(COUNTIF(C14:H14,"&lt;0")=6,"No se recupera en 5 años",IFERROR((COUNTIF(C14:H14,"&lt;0")-1)+(-INDEX(C14:H14,COUNTIF(C14:H14,"&lt;0")))/INDEX(C13:H13,COUNTIF(C14:H14,"&lt;0")+1),"N/A"))</f>
        <v>No se recupera en 5 años</v>
      </c>
    </row>
    <row r="22" customFormat="false" ht="15" hidden="false" customHeight="true" outlineLevel="0" collapsed="false">
      <c r="B22" s="46" t="s">
        <v>141</v>
      </c>
      <c r="C22" s="48"/>
      <c r="D22" s="75" t="str">
        <f aca="false">IF(COUNTIF(C16:H16,"&lt;0")=6,"No se recupera en 5 años",IFERROR((COUNTIF(C16:H16,"&lt;0")-1)+(-INDEX(C16:H16,COUNTIF(C16:H16,"&lt;0")))/INDEX(C15:H15,COUNTIF(C16:H16,"&lt;0")+1),"N/A"))</f>
        <v>No se recupera en 5 años</v>
      </c>
    </row>
    <row r="24" customFormat="false" ht="15" hidden="false" customHeight="true" outlineLevel="0" collapsed="false">
      <c r="B24" s="65" t="s">
        <v>142</v>
      </c>
      <c r="C24" s="65"/>
      <c r="D24" s="65"/>
      <c r="E24" s="65"/>
      <c r="F24" s="65"/>
      <c r="G24" s="65"/>
      <c r="H24" s="65"/>
    </row>
    <row r="25" customFormat="false" ht="15" hidden="false" customHeight="true" outlineLevel="0" collapsed="false">
      <c r="B25" s="66" t="s">
        <v>129</v>
      </c>
      <c r="C25" s="67" t="s">
        <v>130</v>
      </c>
      <c r="D25" s="67" t="s">
        <v>114</v>
      </c>
      <c r="E25" s="67" t="s">
        <v>115</v>
      </c>
      <c r="F25" s="67" t="s">
        <v>116</v>
      </c>
      <c r="G25" s="67" t="s">
        <v>117</v>
      </c>
      <c r="H25" s="67" t="s">
        <v>118</v>
      </c>
    </row>
    <row r="26" customFormat="false" ht="15" hidden="false" customHeight="true" outlineLevel="0" collapsed="false">
      <c r="B26" s="51" t="s">
        <v>121</v>
      </c>
      <c r="C26" s="54" t="n">
        <v>0</v>
      </c>
      <c r="D26" s="76" t="n">
        <f aca="false">'Estimación de Demanda'!D13</f>
        <v>7200.0</v>
      </c>
      <c r="E26" s="76" t="n">
        <f aca="false">'Estimación de Demanda'!E13</f>
        <v>9360.0</v>
      </c>
      <c r="F26" s="76" t="n">
        <f aca="false">'Estimación de Demanda'!F13</f>
        <v>7560.0</v>
      </c>
      <c r="G26" s="76" t="n">
        <f aca="false">'Estimación de Demanda'!G13</f>
        <v>10440.0</v>
      </c>
      <c r="H26" s="76" t="n">
        <f aca="false">'Estimación de Demanda'!H13</f>
        <v>9000.0</v>
      </c>
    </row>
    <row r="27" customFormat="false" ht="15" hidden="false" customHeight="true" outlineLevel="0" collapsed="false">
      <c r="B27" s="51" t="s">
        <v>131</v>
      </c>
      <c r="C27" s="77" t="n">
        <v>0</v>
      </c>
      <c r="D27" s="78" t="n">
        <f aca="false">D26*$F$5</f>
        <v>6378.606720000001</v>
      </c>
      <c r="E27" s="78" t="n">
        <f aca="false">E26*$F$5</f>
        <v>8292.188736</v>
      </c>
      <c r="F27" s="78" t="n">
        <f aca="false">F26*$F$5</f>
        <v>6697.537056000001</v>
      </c>
      <c r="G27" s="78" t="n">
        <f aca="false">G26*$F$5</f>
        <v>9248.979744</v>
      </c>
      <c r="H27" s="78" t="n">
        <f aca="false">H26*$F$5</f>
        <v>7973.258400000001</v>
      </c>
    </row>
    <row r="28" customFormat="false" ht="15" hidden="false" customHeight="true" outlineLevel="0" collapsed="false">
      <c r="B28" s="51" t="s">
        <v>132</v>
      </c>
      <c r="C28" s="77" t="n">
        <v>0</v>
      </c>
      <c r="D28" s="79" t="n">
        <f aca="false">-'Gastos Post-lanzamiento'!E10</f>
        <v>-4493.537459283388</v>
      </c>
      <c r="E28" s="79" t="n">
        <f aca="false">-'Gastos Post-lanzamiento'!F10</f>
        <v>-4613.537459283388</v>
      </c>
      <c r="F28" s="79" t="n">
        <f aca="false">-'Gastos Post-lanzamiento'!G10</f>
        <v>-4913.537459283388</v>
      </c>
      <c r="G28" s="79" t="n">
        <f aca="false">-'Gastos Post-lanzamiento'!H10</f>
        <v>-5213.537459283388</v>
      </c>
      <c r="H28" s="79" t="n">
        <f aca="false">-'Gastos Post-lanzamiento'!I10</f>
        <v>-5513.537459283388</v>
      </c>
    </row>
    <row r="29" customFormat="false" ht="15" hidden="false" customHeight="true" outlineLevel="0" collapsed="false">
      <c r="B29" s="50" t="s">
        <v>133</v>
      </c>
      <c r="C29" s="80" t="n">
        <f aca="false">$F$4</f>
        <v>-4395.470588235294</v>
      </c>
      <c r="D29" s="80" t="n">
        <f aca="false">D27+D28</f>
        <v>1885.069260716613</v>
      </c>
      <c r="E29" s="80" t="n">
        <f aca="false">E27+E28</f>
        <v>3678.6512767166123</v>
      </c>
      <c r="F29" s="80" t="n">
        <f aca="false">F27+F28</f>
        <v>1783.9995967166133</v>
      </c>
      <c r="G29" s="80" t="n">
        <f aca="false">G27+G28</f>
        <v>4035.4422847166124</v>
      </c>
      <c r="H29" s="80" t="n">
        <f aca="false">H27+H28</f>
        <v>2459.720940716613</v>
      </c>
    </row>
    <row r="30" customFormat="false" ht="15" hidden="false" customHeight="true" outlineLevel="0" collapsed="false">
      <c r="B30" s="51" t="s">
        <v>134</v>
      </c>
      <c r="C30" s="77" t="n">
        <f aca="false">C29</f>
        <v>-4395.470588235294</v>
      </c>
      <c r="D30" s="78" t="n">
        <f aca="false">C30+D29</f>
        <v>-2510.401327518681</v>
      </c>
      <c r="E30" s="78" t="n">
        <f aca="false">D30+E29</f>
        <v>1168.2499491979315</v>
      </c>
      <c r="F30" s="78" t="n">
        <f aca="false">E30+F29</f>
        <v>2952.249545914545</v>
      </c>
      <c r="G30" s="78" t="n">
        <f aca="false">F30+G29</f>
        <v>6987.691830631157</v>
      </c>
      <c r="H30" s="78" t="n">
        <f aca="false">G30+H29</f>
        <v>9447.41277134777</v>
      </c>
    </row>
    <row r="31" customFormat="false" ht="15" hidden="false" customHeight="true" outlineLevel="0" collapsed="false">
      <c r="B31" s="51" t="s">
        <v>135</v>
      </c>
      <c r="C31" s="78" t="n">
        <f aca="false">C29/(1+$F$3)^0</f>
        <v>-4395.470588235294</v>
      </c>
      <c r="D31" s="78" t="n">
        <f aca="false">D29/(1+$F$3)^1</f>
        <v>1556.667005831393</v>
      </c>
      <c r="E31" s="78" t="n">
        <f aca="false">E29/(1+$F$3)^2</f>
        <v>2508.5654584813547</v>
      </c>
      <c r="F31" s="78" t="n">
        <f aca="false">F29/(1+$F$3)^3</f>
        <v>1004.6157407091762</v>
      </c>
      <c r="G31" s="78" t="n">
        <f aca="false">G29/(1+$F$3)^4</f>
        <v>1876.570029507157</v>
      </c>
      <c r="H31" s="78" t="n">
        <f aca="false">H29/(1+$F$3)^5</f>
        <v>944.5563739014492</v>
      </c>
    </row>
    <row r="32" customFormat="false" ht="15" hidden="false" customHeight="true" outlineLevel="0" collapsed="false">
      <c r="B32" s="51" t="s">
        <v>136</v>
      </c>
      <c r="C32" s="77" t="n">
        <f aca="false">C31</f>
        <v>-4395.470588235294</v>
      </c>
      <c r="D32" s="78" t="n">
        <f aca="false">C32+D31</f>
        <v>-2838.8035824039007</v>
      </c>
      <c r="E32" s="78" t="n">
        <f aca="false">D32+E31</f>
        <v>-330.23812392254604</v>
      </c>
      <c r="F32" s="78" t="n">
        <f aca="false">E32+F31</f>
        <v>674.3776167866301</v>
      </c>
      <c r="G32" s="78" t="n">
        <f aca="false">F32+G31</f>
        <v>2550.9476462937873</v>
      </c>
      <c r="H32" s="78" t="n">
        <f aca="false">G32+H31</f>
        <v>3495.5040201952365</v>
      </c>
    </row>
    <row r="34" customFormat="false" ht="15" hidden="false" customHeight="true" outlineLevel="0" collapsed="false">
      <c r="B34" s="73" t="s">
        <v>137</v>
      </c>
      <c r="C34" s="73"/>
      <c r="D34" s="73"/>
      <c r="E34" s="73"/>
      <c r="F34" s="73"/>
      <c r="G34" s="73"/>
      <c r="H34" s="73"/>
    </row>
    <row r="35" customFormat="false" ht="15" hidden="false" customHeight="true" outlineLevel="0" collapsed="false">
      <c r="B35" s="51" t="s">
        <v>138</v>
      </c>
      <c r="C35" s="53"/>
      <c r="D35" s="80" t="n">
        <f aca="false">NPV($F$3,D29:H29)+C29</f>
        <v>3495.504020195236</v>
      </c>
    </row>
    <row r="36" customFormat="false" ht="15" hidden="false" customHeight="true" outlineLevel="0" collapsed="false">
      <c r="B36" s="51" t="s">
        <v>139</v>
      </c>
      <c r="C36" s="53"/>
      <c r="D36" s="81" t="n">
        <f aca="false">IFERROR(IRR(C29:H29),"N/A")</f>
        <v>0.5205902094418557</v>
      </c>
    </row>
    <row r="37" customFormat="false" ht="15" hidden="false" customHeight="true" outlineLevel="0" collapsed="false">
      <c r="B37" s="51" t="s">
        <v>140</v>
      </c>
      <c r="C37" s="53"/>
      <c r="D37" s="82" t="n">
        <f aca="false">IF(COUNTIF(C30:H30,"&lt;0")=6,"No se recupera en 5 años",IFERROR((COUNTIF(C30:H30,"&lt;0")-1)+(-INDEX(C30:H30,COUNTIF(C30:H30,"&lt;0")))/INDEX(C29:H29,COUNTIF(C30:H30,"&lt;0")+1),"N/A"))</f>
        <v>1.6824243829274692</v>
      </c>
    </row>
    <row r="38" customFormat="false" ht="15" hidden="false" customHeight="true" outlineLevel="0" collapsed="false">
      <c r="B38" s="51" t="s">
        <v>141</v>
      </c>
      <c r="C38" s="53"/>
      <c r="D38" s="82" t="n">
        <f aca="false">IF(COUNTIF(C32:H32,"&lt;0")=6,"No se recupera en 5 años",IFERROR((COUNTIF(C32:H32,"&lt;0")-1)+(-INDEX(C32:H32,COUNTIF(C32:H32,"&lt;0")))/INDEX(C31:H31,COUNTIF(C32:H32,"&lt;0")+1),"N/A"))</f>
        <v>2.328720833788076</v>
      </c>
    </row>
    <row r="40" customFormat="false" ht="15" hidden="false" customHeight="true" outlineLevel="0" collapsed="false">
      <c r="B40" s="65" t="s">
        <v>143</v>
      </c>
      <c r="C40" s="65"/>
      <c r="D40" s="65"/>
      <c r="E40" s="65"/>
      <c r="F40" s="65"/>
      <c r="G40" s="65"/>
      <c r="H40" s="65"/>
    </row>
    <row r="41" customFormat="false" ht="15" hidden="false" customHeight="true" outlineLevel="0" collapsed="false">
      <c r="B41" s="66" t="s">
        <v>129</v>
      </c>
      <c r="C41" s="67" t="s">
        <v>130</v>
      </c>
      <c r="D41" s="67" t="s">
        <v>114</v>
      </c>
      <c r="E41" s="67" t="s">
        <v>115</v>
      </c>
      <c r="F41" s="67" t="s">
        <v>116</v>
      </c>
      <c r="G41" s="67" t="s">
        <v>117</v>
      </c>
      <c r="H41" s="67" t="s">
        <v>118</v>
      </c>
    </row>
    <row r="42" customFormat="false" ht="15" hidden="false" customHeight="true" outlineLevel="0" collapsed="false">
      <c r="B42" s="56" t="s">
        <v>121</v>
      </c>
      <c r="C42" s="59" t="n">
        <v>0</v>
      </c>
      <c r="D42" s="83" t="n">
        <f aca="false">'Estimación de Demanda'!D16</f>
        <v>10080.0</v>
      </c>
      <c r="E42" s="83" t="n">
        <f aca="false">'Estimación de Demanda'!E16</f>
        <v>15120.0</v>
      </c>
      <c r="F42" s="83" t="n">
        <f aca="false">'Estimación de Demanda'!F16</f>
        <v>12240.0</v>
      </c>
      <c r="G42" s="83" t="n">
        <f aca="false">'Estimación de Demanda'!G16</f>
        <v>17280.0</v>
      </c>
      <c r="H42" s="83" t="n">
        <f aca="false">'Estimación de Demanda'!H16</f>
        <v>14400.0</v>
      </c>
    </row>
    <row r="43" customFormat="false" ht="15" hidden="false" customHeight="true" outlineLevel="0" collapsed="false">
      <c r="B43" s="56" t="s">
        <v>131</v>
      </c>
      <c r="C43" s="84" t="n">
        <v>0</v>
      </c>
      <c r="D43" s="85" t="n">
        <f aca="false">D42*$F$5</f>
        <v>8930.049408</v>
      </c>
      <c r="E43" s="85" t="n">
        <f aca="false">E42*$F$5</f>
        <v>13395.074112000002</v>
      </c>
      <c r="F43" s="85" t="n">
        <f aca="false">F42*$F$5</f>
        <v>10843.631424000001</v>
      </c>
      <c r="G43" s="85" t="n">
        <f aca="false">G42*$F$5</f>
        <v>15308.656128</v>
      </c>
      <c r="H43" s="85" t="n">
        <f aca="false">H42*$F$5</f>
        <v>12757.213440000001</v>
      </c>
    </row>
    <row r="44" customFormat="false" ht="15" hidden="false" customHeight="true" outlineLevel="0" collapsed="false">
      <c r="B44" s="56" t="s">
        <v>132</v>
      </c>
      <c r="C44" s="84" t="n">
        <v>0</v>
      </c>
      <c r="D44" s="86" t="n">
        <f aca="false">-'Gastos Post-lanzamiento'!E10</f>
        <v>-4493.537459283388</v>
      </c>
      <c r="E44" s="86" t="n">
        <f aca="false">-'Gastos Post-lanzamiento'!F10</f>
        <v>-4613.537459283388</v>
      </c>
      <c r="F44" s="86" t="n">
        <f aca="false">-'Gastos Post-lanzamiento'!G10</f>
        <v>-4913.537459283388</v>
      </c>
      <c r="G44" s="86" t="n">
        <f aca="false">-'Gastos Post-lanzamiento'!H10</f>
        <v>-5213.537459283388</v>
      </c>
      <c r="H44" s="86" t="n">
        <f aca="false">-'Gastos Post-lanzamiento'!I10</f>
        <v>-5513.537459283388</v>
      </c>
    </row>
    <row r="45" customFormat="false" ht="15" hidden="false" customHeight="true" outlineLevel="0" collapsed="false">
      <c r="B45" s="55" t="s">
        <v>133</v>
      </c>
      <c r="C45" s="87" t="n">
        <f aca="false">$F$4</f>
        <v>-4395.470588235294</v>
      </c>
      <c r="D45" s="87" t="n">
        <f aca="false">D43+D44</f>
        <v>4436.511948716613</v>
      </c>
      <c r="E45" s="87" t="n">
        <f aca="false">E43+E44</f>
        <v>8781.536652716615</v>
      </c>
      <c r="F45" s="87" t="n">
        <f aca="false">F43+F44</f>
        <v>5930.093964716613</v>
      </c>
      <c r="G45" s="87" t="n">
        <f aca="false">G43+G44</f>
        <v>10095.118668716612</v>
      </c>
      <c r="H45" s="87" t="n">
        <f aca="false">H43+H44</f>
        <v>7243.675980716614</v>
      </c>
    </row>
    <row r="46" customFormat="false" ht="15" hidden="false" customHeight="true" outlineLevel="0" collapsed="false">
      <c r="B46" s="56" t="s">
        <v>134</v>
      </c>
      <c r="C46" s="84" t="n">
        <f aca="false">C45</f>
        <v>-4395.470588235294</v>
      </c>
      <c r="D46" s="85" t="n">
        <f aca="false">C46+D45</f>
        <v>41.041360481319316</v>
      </c>
      <c r="E46" s="85" t="n">
        <f aca="false">D46+E45</f>
        <v>8822.578013197934</v>
      </c>
      <c r="F46" s="85" t="n">
        <f aca="false">E46+F45</f>
        <v>14752.671977914546</v>
      </c>
      <c r="G46" s="85" t="n">
        <f aca="false">F46+G45</f>
        <v>24847.790646631158</v>
      </c>
      <c r="H46" s="85" t="n">
        <f aca="false">G46+H45</f>
        <v>32091.46662734777</v>
      </c>
    </row>
    <row r="47" customFormat="false" ht="15" hidden="false" customHeight="true" outlineLevel="0" collapsed="false">
      <c r="B47" s="56" t="s">
        <v>135</v>
      </c>
      <c r="C47" s="85" t="n">
        <f aca="false">C45/(1+$F$3)^0</f>
        <v>-4395.470588235294</v>
      </c>
      <c r="D47" s="85" t="n">
        <f aca="false">D45/(1+$F$3)^1</f>
        <v>3663.6169903478735</v>
      </c>
      <c r="E47" s="85" t="n">
        <f aca="false">E45/(1+$F$3)^2</f>
        <v>5988.352214525471</v>
      </c>
      <c r="F47" s="85" t="n">
        <f aca="false">F45/(1+$F$3)^3</f>
        <v>3339.387380918301</v>
      </c>
      <c r="G47" s="85" t="n">
        <f aca="false">G45/(1+$F$3)^4</f>
        <v>4694.453742971108</v>
      </c>
      <c r="H47" s="85" t="n">
        <f aca="false">H45/(1+$F$3)^5</f>
        <v>2781.640878362953</v>
      </c>
    </row>
    <row r="48" customFormat="false" ht="15" hidden="false" customHeight="true" outlineLevel="0" collapsed="false">
      <c r="B48" s="56" t="s">
        <v>136</v>
      </c>
      <c r="C48" s="84" t="n">
        <f aca="false">C47</f>
        <v>-4395.470588235294</v>
      </c>
      <c r="D48" s="85" t="n">
        <f aca="false">C48+D47</f>
        <v>-731.8535978874202</v>
      </c>
      <c r="E48" s="85" t="n">
        <f aca="false">D48+E47</f>
        <v>5256.498616638051</v>
      </c>
      <c r="F48" s="85" t="n">
        <f aca="false">E48+F47</f>
        <v>8595.885997556352</v>
      </c>
      <c r="G48" s="85" t="n">
        <f aca="false">F48+G47</f>
        <v>13290.339740527459</v>
      </c>
      <c r="H48" s="85" t="n">
        <f aca="false">G48+H47</f>
        <v>16071.980618890411</v>
      </c>
    </row>
    <row r="50" customFormat="false" ht="15" hidden="false" customHeight="true" outlineLevel="0" collapsed="false">
      <c r="B50" s="73" t="s">
        <v>137</v>
      </c>
      <c r="C50" s="73"/>
      <c r="D50" s="73"/>
      <c r="E50" s="73"/>
      <c r="F50" s="73"/>
      <c r="G50" s="73"/>
      <c r="H50" s="73"/>
    </row>
    <row r="51" customFormat="false" ht="15" hidden="false" customHeight="true" outlineLevel="0" collapsed="false">
      <c r="B51" s="56" t="s">
        <v>138</v>
      </c>
      <c r="C51" s="58"/>
      <c r="D51" s="87" t="n">
        <f aca="false">NPV($F$3,D45:H45)+C45</f>
        <v>16071.980618890411</v>
      </c>
    </row>
    <row r="52" customFormat="false" ht="15" hidden="false" customHeight="true" outlineLevel="0" collapsed="false">
      <c r="B52" s="56" t="s">
        <v>139</v>
      </c>
      <c r="C52" s="58"/>
      <c r="D52" s="88" t="n">
        <f aca="false">IFERROR(IRR(C45:H45),"N/A")</f>
        <v>1.341965002026296</v>
      </c>
    </row>
    <row r="53" customFormat="false" ht="15" hidden="false" customHeight="true" outlineLevel="0" collapsed="false">
      <c r="B53" s="56" t="s">
        <v>140</v>
      </c>
      <c r="C53" s="58"/>
      <c r="D53" s="89" t="n">
        <f aca="false">IF(COUNTIF(C46:H46,"&lt;0")=6,"No se recupera en 5 años",IFERROR((COUNTIF(C46:H46,"&lt;0")-1)+(-INDEX(C46:H46,COUNTIF(C46:H46,"&lt;0")))/INDEX(C45:H45,COUNTIF(C46:H46,"&lt;0")+1),"N/A"))</f>
        <v>0.9907491829266477</v>
      </c>
    </row>
    <row r="54" customFormat="false" ht="15" hidden="false" customHeight="true" outlineLevel="0" collapsed="false">
      <c r="B54" s="56" t="s">
        <v>141</v>
      </c>
      <c r="C54" s="58"/>
      <c r="D54" s="89" t="n">
        <f aca="false">IF(COUNTIF(C48:H48,"&lt;0")=6,"No se recupera en 5 años",IFERROR((COUNTIF(C48:H48,"&lt;0")-1)+(-INDEX(C48:H48,COUNTIF(C48:H48,"&lt;0")))/INDEX(C47:H47,COUNTIF(C48:H48,"&lt;0")+1),"N/A"))</f>
        <v>1.1222128511599938</v>
      </c>
    </row>
    <row r="56" customFormat="false" ht="15" hidden="false" customHeight="true" outlineLevel="0" collapsed="false">
      <c r="B56" s="90" t="s">
        <v>144</v>
      </c>
      <c r="C56" s="91" t="n">
        <v>0</v>
      </c>
      <c r="D56" s="91" t="n">
        <v>0</v>
      </c>
      <c r="E56" s="91" t="n">
        <v>0</v>
      </c>
      <c r="F56" s="91" t="n">
        <v>0</v>
      </c>
      <c r="G56" s="91" t="n">
        <v>0</v>
      </c>
      <c r="H56" s="91" t="n">
        <v>0</v>
      </c>
    </row>
    <row r="58" customFormat="false" ht="15" hidden="false" customHeight="true" outlineLevel="0" collapsed="false">
      <c r="B58" s="65" t="s">
        <v>145</v>
      </c>
      <c r="C58" s="65"/>
      <c r="D58" s="65"/>
      <c r="E58" s="65"/>
      <c r="F58" s="65"/>
    </row>
    <row r="59" customFormat="false" ht="26.25" hidden="false" customHeight="true" outlineLevel="0" collapsed="false">
      <c r="B59" s="92" t="s">
        <v>112</v>
      </c>
      <c r="C59" s="92" t="s">
        <v>146</v>
      </c>
      <c r="D59" s="92" t="s">
        <v>147</v>
      </c>
      <c r="E59" s="92" t="s">
        <v>148</v>
      </c>
      <c r="F59" s="92" t="s">
        <v>149</v>
      </c>
    </row>
    <row r="60" customFormat="false" ht="15" hidden="false" customHeight="true" outlineLevel="0" collapsed="false">
      <c r="B60" s="46" t="s">
        <v>119</v>
      </c>
      <c r="C60" s="70" t="n">
        <f aca="false">D19</f>
        <v>-5467.845231165994</v>
      </c>
      <c r="D60" s="93" t="n">
        <f aca="false">D20</f>
        <v>-0.5285579520312522</v>
      </c>
      <c r="E60" s="94" t="str">
        <f aca="false">D21</f>
        <v>No se recupera en 5 años</v>
      </c>
      <c r="F60" s="94" t="str">
        <f aca="false">D22</f>
        <v>No se recupera en 5 años</v>
      </c>
    </row>
    <row r="61" customFormat="false" ht="15" hidden="false" customHeight="true" outlineLevel="0" collapsed="false">
      <c r="B61" s="51" t="s">
        <v>122</v>
      </c>
      <c r="C61" s="78" t="n">
        <f aca="false">D35</f>
        <v>3495.504020195236</v>
      </c>
      <c r="D61" s="95" t="n">
        <f aca="false">D36</f>
        <v>0.5205902094418557</v>
      </c>
      <c r="E61" s="96" t="n">
        <f aca="false">D37</f>
        <v>1.6824243829274692</v>
      </c>
      <c r="F61" s="96" t="n">
        <f aca="false">D38</f>
        <v>2.328720833788076</v>
      </c>
    </row>
    <row r="62" customFormat="false" ht="15" hidden="false" customHeight="true" outlineLevel="0" collapsed="false">
      <c r="B62" s="56" t="s">
        <v>123</v>
      </c>
      <c r="C62" s="85" t="n">
        <f aca="false">D51</f>
        <v>16071.980618890411</v>
      </c>
      <c r="D62" s="97" t="n">
        <f aca="false">D52</f>
        <v>1.341965002026296</v>
      </c>
      <c r="E62" s="98" t="n">
        <f aca="false">D53</f>
        <v>0.9907491829266477</v>
      </c>
      <c r="F62" s="98" t="n">
        <f aca="false">D54</f>
        <v>1.1222128511599938</v>
      </c>
    </row>
  </sheetData>
  <mergeCells count="8">
    <mergeCell ref="B1:J1"/>
    <mergeCell ref="B8:H8"/>
    <mergeCell ref="B18:H18"/>
    <mergeCell ref="B24:H24"/>
    <mergeCell ref="B34:H34"/>
    <mergeCell ref="B40:H40"/>
    <mergeCell ref="B50:H50"/>
    <mergeCell ref="B58:F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2026-09-09T19:35:45Z</dcterms:created>
  <dc:creator>openpyxl</dc:creator>
  <dc:description/>
  <dc:language>en-US</dc:language>
  <cp:lastModifiedBy/>
  <dcterms:modified xsi:type="dcterms:W3CDTF">2026-09-12T18:50:46Z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