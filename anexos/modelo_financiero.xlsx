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Parámetros" sheetId="2" state="visible" r:id="rId4"/>
    <sheet name="Inversión" sheetId="3" state="visible" r:id="rId5"/>
    <sheet name="Costos fijos" sheetId="4" state="visible" r:id="rId6"/>
    <sheet name="Demanda" sheetId="5" state="visible" r:id="rId7"/>
    <sheet name="Fundador" sheetId="6" state="visible" r:id="rId8"/>
    <sheet name="Flujos" sheetId="7" state="visible" r:id="rId9"/>
    <sheet name="Indicadores" sheetId="8" state="visible" r:id="rId10"/>
    <sheet name="Sensibilidad" sheetId="9" state="visible" r:id="rId11"/>
  </sheets>
  <definedNames>
    <definedName function="false" hidden="false" name="AlumnosPorTutor" vbProcedure="false">Parámetros!$B$29</definedName>
    <definedName function="false" hidden="false" name="AnualidadVA" vbProcedure="false">Sensibilidad!$G$5</definedName>
    <definedName function="false" hidden="false" name="ClasesMes" vbProcedure="false">Parámetros!$B$11</definedName>
    <definedName function="false" hidden="false" name="Comision" vbProcedure="false">Parámetros!$B$8</definedName>
    <definedName function="false" hidden="false" name="ComisionMP" vbProcedure="false">Parámetros!$B$9</definedName>
    <definedName function="false" hidden="false" name="DocsPorTutor" vbProcedure="false">Parámetros!$B$30</definedName>
    <definedName function="false" hidden="false" name="DuracionMin" vbProcedure="false">Parámetros!$B$5</definedName>
    <definedName function="false" hidden="false" name="ExcedenteMes" vbProcedure="false">Sensibilidad!$B$22</definedName>
    <definedName function="false" hidden="false" name="FactorSAC" vbProcedure="false">Parámetros!$B$21</definedName>
    <definedName function="false" hidden="false" name="HorasFijasMes" vbProcedure="false">Parámetros!$B$32</definedName>
    <definedName function="false" hidden="false" name="HorasMes" vbProcedure="false">Parámetros!$B$20</definedName>
    <definedName function="false" hidden="false" name="HorasMesRentado" vbProcedure="false">Parámetros!$B$36</definedName>
    <definedName function="false" hidden="false" name="Inversion" vbProcedure="false">Parámetros!$B$13</definedName>
    <definedName function="false" hidden="false" name="InversionCota" vbProcedure="false">Parámetros!$B$14</definedName>
    <definedName function="false" hidden="false" name="Margen" vbProcedure="false">Parámetros!$B$10</definedName>
    <definedName function="false" hidden="false" name="MargenEq" vbProcedure="false">Sensibilidad!$B$11</definedName>
    <definedName function="false" hidden="false" name="MinConsulta" vbProcedure="false">Parámetros!$B$24</definedName>
    <definedName function="false" hidden="false" name="MinDenuncia" vbProcedure="false">Parámetros!$B$28</definedName>
    <definedName function="false" hidden="false" name="MinDisputa" vbProcedure="false">Parámetros!$B$26</definedName>
    <definedName function="false" hidden="false" name="MinDocumento" vbProcedure="false">Parámetros!$B$31</definedName>
    <definedName function="false" hidden="false" name="PisoUSDHora" vbProcedure="false">Parámetros!$B$15</definedName>
    <definedName function="false" hidden="false" name="PrecioHoraARS" vbProcedure="false">Parámetros!$B$4</definedName>
    <definedName function="false" hidden="false" name="SalarioARS" vbProcedure="false">Parámetros!$B$19</definedName>
    <definedName function="false" hidden="false" name="TarifaJunior" vbProcedure="false">Inversión!$D$19</definedName>
    <definedName function="false" hidden="false" name="TarifaSemiSenior" vbProcedure="false">Inversión!$D$18</definedName>
    <definedName function="false" hidden="false" name="TarifaSenior" vbProcedure="false">Inversión!$D$17</definedName>
    <definedName function="false" hidden="false" name="Tasa" vbProcedure="false">Parámetros!$B$12</definedName>
    <definedName function="false" hidden="false" name="TasaConsulta" vbProcedure="false">Parámetros!$B$23</definedName>
    <definedName function="false" hidden="false" name="TasaDenuncia" vbProcedure="false">Parámetros!$B$27</definedName>
    <definedName function="false" hidden="false" name="TasaDisputa" vbProcedure="false">Parámetros!$B$25</definedName>
    <definedName function="false" hidden="false" name="Ticket" vbProcedure="false">Parámetros!$B$7</definedName>
    <definedName function="false" hidden="false" name="TicketEq" vbProcedure="false">Sensibilidad!$B$14</definedName>
    <definedName function="false" hidden="false" name="TipoCambio" vbProcedure="false">Parámetros!$B$6</definedName>
    <definedName function="false" hidden="false" name="VACostos" vbProcedure="false">Sensibilidad!$G$6</definedName>
    <definedName function="false" hidden="false" name="ValorHoraUSD" vbProcedure="false">Parámetros!$B$22</definedName>
    <definedName function="false" hidden="false" name="VASesBase" vbProcedure="false">Sensibilidad!$G$7</definedName>
    <definedName function="false" hidden="false" name="VASesPes" vbProcedure="false">Sensibilidad!$G$8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<sst xmlns="http://schemas.openxmlformats.org/spreadsheetml/2006/main" count="498" uniqueCount="238">
  <si>
    <t xml:space="preserve">Tinku — Modelo financiero (capítulo 5 y anexo II)</t>
  </si>
  <si>
    <t xml:space="preserve">Planilla vigente del modelo con el que se calcularon los indicadores del capítulo 5. Reproduce las tablas del anexo II con fórmulas: al cambiar un parámetro, todo se recalcula.</t>
  </si>
  <si>
    <t xml:space="preserve">Todos los montos están en dólares estadounidenses (USD) salvo que la columna diga ARS.</t>
  </si>
  <si>
    <t xml:space="preserve">Cómo se lee</t>
  </si>
  <si>
    <t xml:space="preserve">Texto azul: parámetro de entrada (se puede modificar). Celdas amarillas: supuestos clave del modelo.</t>
  </si>
  <si>
    <t xml:space="preserve">Texto negro: fórmula calculada en la misma hoja. Texto verde: valor tomado de otra hoja.</t>
  </si>
  <si>
    <t xml:space="preserve">Hojas</t>
  </si>
  <si>
    <t xml:space="preserve">Parámetros — supuestos del modelo con su origen (tabla de parámetros del anexo II).</t>
  </si>
  <si>
    <t xml:space="preserve">Inversión — inversión inicial del Año 0 (tabla de inversión del capítulo 5).</t>
  </si>
  <si>
    <t xml:space="preserve">Costos fijos — costos operativos mensuales y anuales (tabla de costos fijos del capítulo 5).</t>
  </si>
  <si>
    <t xml:space="preserve">Demanda — alumnos activos y sesiones anuales por escenario (tabla de demanda del capítulo 5).</t>
  </si>
  <si>
    <t xml:space="preserve">Fundador — horas y costo del tiempo del fundador en soporte, moderación y credenciales.</t>
  </si>
  <si>
    <t xml:space="preserve">Flujos — flujos netos por escenario, sin y con el costo del fundador (y con el doble de horas), con VAN, TIR y repagos simple y descontado.</t>
  </si>
  <si>
    <t xml:space="preserve">Indicadores — resumen de las tablas de indicadores del anexo II y del capítulo 5.</t>
  </si>
  <si>
    <t xml:space="preserve">Sensibilidad — valores que anulan el VAN, comisión, tipo de cambio, ticket, duración, cota de inversión de USD 25.730 y riesgo R-09 (desarrollador rentado).</t>
  </si>
  <si>
    <t xml:space="preserve">Correspondencia</t>
  </si>
  <si>
    <t xml:space="preserve">Genera esta planilla anexos/generar_planilla.py; anexos/modelo_financiero.py calcula los mismos valores en Python. Ambos están en el repositorio de la tesis (anexo I).</t>
  </si>
  <si>
    <t xml:space="preserve">Los valores que anulan el VAN se calculan en forma cerrada (el VAN es lineal en el margen por sesión), por lo que no hace falta usar Buscar objetivo.</t>
  </si>
  <si>
    <t xml:space="preserve">Parámetros del modelo</t>
  </si>
  <si>
    <t xml:space="preserve">Parámetro</t>
  </si>
  <si>
    <t xml:space="preserve">Valor</t>
  </si>
  <si>
    <t xml:space="preserve">Unidad</t>
  </si>
  <si>
    <t xml:space="preserve">Origen</t>
  </si>
  <si>
    <t xml:space="preserve">Precio horario promedio</t>
  </si>
  <si>
    <t xml:space="preserve">ARS/hora</t>
  </si>
  <si>
    <t xml:space="preserve">Relevamiento de 414 avisos de Superprof (apéndice E)</t>
  </si>
  <si>
    <t xml:space="preserve">Duración media de la sesión</t>
  </si>
  <si>
    <t xml:space="preserve">minutos</t>
  </si>
  <si>
    <t xml:space="preserve">Ecuación de duración media del capítulo 5</t>
  </si>
  <si>
    <t xml:space="preserve">Tipo de cambio</t>
  </si>
  <si>
    <t xml:space="preserve">ARS/USD</t>
  </si>
  <si>
    <t xml:space="preserve">BNA, 09/09/2026 (cotización vendedor); el mismo que usa el sistema para el piso de tarifa</t>
  </si>
  <si>
    <t xml:space="preserve">Ticket promedio por sesión</t>
  </si>
  <si>
    <t xml:space="preserve">USD/sesión</t>
  </si>
  <si>
    <t xml:space="preserve">Ecuación del ticket: precio horario × 51/60 / tipo de cambio, redondeado a centavos</t>
  </si>
  <si>
    <t xml:space="preserve">Comisión de la plataforma</t>
  </si>
  <si>
    <t xml:space="preserve">%</t>
  </si>
  <si>
    <t xml:space="preserve">Regla BR-PAG-01 (ADR-M5-05)</t>
  </si>
  <si>
    <t xml:space="preserve">Comisión de MercadoPago (a cargo del tutor)</t>
  </si>
  <si>
    <t xml:space="preserve">Modelo de cobro A (ADR-M5-02); no es costo de la plataforma, solo afecta el neto del tutor</t>
  </si>
  <si>
    <t xml:space="preserve">Margen de la plataforma por sesión</t>
  </si>
  <si>
    <t xml:space="preserve">Ticket × comisión</t>
  </si>
  <si>
    <t xml:space="preserve">Clases por alumno activo por mes</t>
  </si>
  <si>
    <t xml:space="preserve">clases</t>
  </si>
  <si>
    <t xml:space="preserve">Supuesto del capítulo 5 (tabla de demanda)</t>
  </si>
  <si>
    <t xml:space="preserve">Tasa de descuento</t>
  </si>
  <si>
    <t xml:space="preserve">anual en USD</t>
  </si>
  <si>
    <t xml:space="preserve">Sección de tasa de descuento del capítulo 5</t>
  </si>
  <si>
    <t xml:space="preserve">Inversión inicial (Año 0)</t>
  </si>
  <si>
    <t xml:space="preserve">USD</t>
  </si>
  <si>
    <t xml:space="preserve">Hoja Inversión</t>
  </si>
  <si>
    <t xml:space="preserve">Inversión de la cota (tarifas de contratista)</t>
  </si>
  <si>
    <t xml:space="preserve">Versión anterior del capítulo 5: desarrollo valorizado a USD 50/30/15 por hora</t>
  </si>
  <si>
    <t xml:space="preserve">Piso de tarifa por hora</t>
  </si>
  <si>
    <t xml:space="preserve">USD/hora</t>
  </si>
  <si>
    <t xml:space="preserve">Piso del sistema (BR-PAG-04): $6.140 al tipo de cambio de $1.535</t>
  </si>
  <si>
    <t xml:space="preserve">Costo del tiempo del fundador</t>
  </si>
  <si>
    <t xml:space="preserve">Salario mensual de referencia</t>
  </si>
  <si>
    <t xml:space="preserve">ARS/mes</t>
  </si>
  <si>
    <t xml:space="preserve">Administrativo A, CCT 130/75, octubre de 2026, jornada completa (básico + suma fija); iProfesional, 01/10/2026</t>
  </si>
  <si>
    <t xml:space="preserve">Horas mensuales de jornada completa</t>
  </si>
  <si>
    <t xml:space="preserve">horas</t>
  </si>
  <si>
    <t xml:space="preserve">48 horas semanales (Ley 11.544, art. 1) × 52 / 12</t>
  </si>
  <si>
    <t xml:space="preserve">Factor de sueldo anual complementario</t>
  </si>
  <si>
    <t xml:space="preserve">Un sueldo más por año (Ley 20.744, art. 121)</t>
  </si>
  <si>
    <t xml:space="preserve">Valor hora del fundador</t>
  </si>
  <si>
    <t xml:space="preserve">Salario / horas × factor SAC / tipo de cambio</t>
  </si>
  <si>
    <t xml:space="preserve">Consultas de soporte por sesión</t>
  </si>
  <si>
    <t xml:space="preserve">por sesión</t>
  </si>
  <si>
    <t xml:space="preserve">Supuesto propio declarado en el capítulo 5</t>
  </si>
  <si>
    <t xml:space="preserve">Minutos por consulta</t>
  </si>
  <si>
    <t xml:space="preserve">min</t>
  </si>
  <si>
    <t xml:space="preserve">Supuesto propio</t>
  </si>
  <si>
    <t xml:space="preserve">Disputas o reembolsos manuales por sesión</t>
  </si>
  <si>
    <t xml:space="preserve">Minutos por disputa</t>
  </si>
  <si>
    <t xml:space="preserve">Denuncias por sesión</t>
  </si>
  <si>
    <t xml:space="preserve">Minutos por denuncia</t>
  </si>
  <si>
    <t xml:space="preserve">Alumnos activos por tutor</t>
  </si>
  <si>
    <t xml:space="preserve">alumnos</t>
  </si>
  <si>
    <t xml:space="preserve">Tutores activos = alumnos activos / 4</t>
  </si>
  <si>
    <t xml:space="preserve">Documentos por tutor por año</t>
  </si>
  <si>
    <t xml:space="preserve">documentos</t>
  </si>
  <si>
    <t xml:space="preserve">CAP (vigencia de 12 meses) + credencial académica</t>
  </si>
  <si>
    <t xml:space="preserve">Minutos por documento revisado</t>
  </si>
  <si>
    <t xml:space="preserve">Horas fijas de revisión de paneles y colas</t>
  </si>
  <si>
    <t xml:space="preserve">horas/mes</t>
  </si>
  <si>
    <t xml:space="preserve">1 hora semanal</t>
  </si>
  <si>
    <t xml:space="preserve">Riesgo R-09: desarrollador rentado a jornada completa</t>
  </si>
  <si>
    <t xml:space="preserve">Horas mensuales del desarrollador rentado</t>
  </si>
  <si>
    <t xml:space="preserve">Mismo divisor que las tarifas de la tabla de inversión</t>
  </si>
  <si>
    <t xml:space="preserve">Categoría</t>
  </si>
  <si>
    <t xml:space="preserve">Concepto</t>
  </si>
  <si>
    <t xml:space="preserve">Cantidad</t>
  </si>
  <si>
    <t xml:space="preserve">Valor unitario (USD)</t>
  </si>
  <si>
    <t xml:space="preserve">Total (USD)</t>
  </si>
  <si>
    <t xml:space="preserve">Personal</t>
  </si>
  <si>
    <t xml:space="preserve">Senior — arquitectura, IA y WebRTC</t>
  </si>
  <si>
    <t xml:space="preserve">Semi-senior — backend y pasarela de pagos</t>
  </si>
  <si>
    <t xml:space="preserve">Junior — frontend PWA e interfaz</t>
  </si>
  <si>
    <t xml:space="preserve">Junior — UAT y pruebas</t>
  </si>
  <si>
    <t xml:space="preserve">Infraestructura</t>
  </si>
  <si>
    <t xml:space="preserve">Servidor propio preexistente y capas gratuitas (LiveKit, GitHub)</t>
  </si>
  <si>
    <t xml:space="preserve">meses</t>
  </si>
  <si>
    <t xml:space="preserve">Administrativo</t>
  </si>
  <si>
    <t xml:space="preserve">Registro de dominio</t>
  </si>
  <si>
    <t xml:space="preserve">año</t>
  </si>
  <si>
    <t xml:space="preserve">Legal</t>
  </si>
  <si>
    <t xml:space="preserve">Asesoría en privacidad de datos y TyC</t>
  </si>
  <si>
    <t xml:space="preserve">único</t>
  </si>
  <si>
    <t xml:space="preserve">Riesgo</t>
  </si>
  <si>
    <t xml:space="preserve">Contingencia por imprevistos (% del desarrollo)</t>
  </si>
  <si>
    <t xml:space="preserve">base</t>
  </si>
  <si>
    <t xml:space="preserve">Total inversión inicial</t>
  </si>
  <si>
    <t xml:space="preserve">Tarifas por hora del personal</t>
  </si>
  <si>
    <t xml:space="preserve">Perfil</t>
  </si>
  <si>
    <t xml:space="preserve">Mediana salarial bruta mensual (ARS)</t>
  </si>
  <si>
    <t xml:space="preserve">Horas/mes</t>
  </si>
  <si>
    <t xml:space="preserve">Tarifa (USD/hora)</t>
  </si>
  <si>
    <t xml:space="preserve">Senior</t>
  </si>
  <si>
    <t xml:space="preserve">Semi-senior</t>
  </si>
  <si>
    <t xml:space="preserve">Junior</t>
  </si>
  <si>
    <t xml:space="preserve">Medianas de desarrolladores con dedicación completa, Encuesta de Sueldos 2026.1 de Sysarmy; ÷ 160 horas ÷ tipo de cambio, redondeadas a dólares enteros. No incluyen contribuciones patronales.</t>
  </si>
  <si>
    <t xml:space="preserve">Costos fijos operativos</t>
  </si>
  <si>
    <t xml:space="preserve">Concepto (USD por mes)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</si>
  <si>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</si>
  <si>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</si>
  <si>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</si>
  <si>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</si>
  <si>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</si>
  <si>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Servidor, base de datos y respaldos</t>
  </si>
  <si>
    <t xml:space="preserve">Transmisión de video (LiveKit)</t>
  </si>
  <si>
    <t xml:space="preserve">Honorarios contables</t>
  </si>
  <si>
    <t xml:space="preserve">Renovación de dominio</t>
  </si>
  <si>
    <t xml:space="preserve">Comercial</t>
  </si>
  <si>
    <t xml:space="preserve">Adquisición de usuarios</t>
  </si>
  <si>
    <t xml:space="preserve">Total mensual</t>
  </si>
  <si>
    <t xml:space="preserve">Total anual</t>
  </si>
  <si>
    <t xml:space="preserve">Fuente: tabla de costos fijos del capítulo 5.</t>
  </si>
  <si>
    <t xml:space="preserve">Demanda por escenario</t>
  </si>
  <si>
    <t xml:space="preserve">Alumnos activos</t>
  </si>
  <si>
    <t xml:space="preserve">Promedio</t>
  </si>
  <si>
    <t xml:space="preserve">Pesimista</t>
  </si>
  <si>
    <t xml:space="preserve">Base</t>
  </si>
  <si>
    <t xml:space="preserve">Optimista</t>
  </si>
  <si>
    <t xml:space="preserve">Sesiones anuales</t>
  </si>
  <si>
    <t xml:space="preserve">Sesiones anuales = alumnos activos × clases por mes × 12. Fuente: tabla de demanda del capítulo 5.</t>
  </si>
  <si>
    <t xml:space="preserve">Horas y costo del tiempo del fundador</t>
  </si>
  <si>
    <t xml:space="preserve">horas/mes = sesiones/mes × (tasa × minutos)/60 por tarea + tutores × documentos/12 × minutos/60 + horas fijas; costo anual = horas/mes × 12 × valor hora</t>
  </si>
  <si>
    <t xml:space="preserve">Escenario pesimista</t>
  </si>
  <si>
    <t xml:space="preserve">Sesiones por mes</t>
  </si>
  <si>
    <t xml:space="preserve">Tutores activos</t>
  </si>
  <si>
    <t xml:space="preserve">Horas de soporte</t>
  </si>
  <si>
    <t xml:space="preserve">Horas de soporte financiero</t>
  </si>
  <si>
    <t xml:space="preserve">Horas de moderación</t>
  </si>
  <si>
    <t xml:space="preserve">Horas de revisión de credenciales</t>
  </si>
  <si>
    <t xml:space="preserve">Horas fijas</t>
  </si>
  <si>
    <t xml:space="preserve">Total horas por mes</t>
  </si>
  <si>
    <t xml:space="preserve">Costo mensual (USD)</t>
  </si>
  <si>
    <t xml:space="preserve">Costo anual (USD)</t>
  </si>
  <si>
    <t xml:space="preserve">Escenario base</t>
  </si>
  <si>
    <t xml:space="preserve">Escenario optimista</t>
  </si>
  <si>
    <t xml:space="preserve">Flujos netos e indicadores por escenario (USD)</t>
  </si>
  <si>
    <t xml:space="preserve">VAN = Σ flujo_t / (1 + tasa)^t; TIR con IRR; repago = año previo al cruce + saldo pendiente / flujo del año del cruce (simple sobre flujos, descontado sobre flujos descontados).</t>
  </si>
  <si>
    <t xml:space="preserve">Año 0</t>
  </si>
  <si>
    <t xml:space="preserve">Ingreso neto (sesiones × margen)</t>
  </si>
  <si>
    <t xml:space="preserve">Costos fijos anuales</t>
  </si>
  <si>
    <t xml:space="preserve">Flujo neto sin costo del fundador</t>
  </si>
  <si>
    <t xml:space="preserve">  acumulado</t>
  </si>
  <si>
    <t xml:space="preserve">  cruce (repago simple)</t>
  </si>
  <si>
    <t xml:space="preserve">  flujo descontado</t>
  </si>
  <si>
    <t xml:space="preserve">  acumulado descontado</t>
  </si>
  <si>
    <t xml:space="preserve">  cruce (repago descontado)</t>
  </si>
  <si>
    <t xml:space="preserve">Flujo neto con costo del fundador</t>
  </si>
  <si>
    <t xml:space="preserve">Flujo neto con el doble de horas</t>
  </si>
  <si>
    <t xml:space="preserve">Indicadores por escenario</t>
  </si>
  <si>
    <t xml:space="preserve">Escenario</t>
  </si>
  <si>
    <t xml:space="preserve">Variante</t>
  </si>
  <si>
    <t xml:space="preserve">VAN (USD)</t>
  </si>
  <si>
    <t xml:space="preserve">TIR</t>
  </si>
  <si>
    <t xml:space="preserve">Repago simple</t>
  </si>
  <si>
    <t xml:space="preserve">Repago descontado</t>
  </si>
  <si>
    <t xml:space="preserve">Sin costo del fundador</t>
  </si>
  <si>
    <t xml:space="preserve">Con costo del fundador</t>
  </si>
  <si>
    <t xml:space="preserve">Con el doble de horas</t>
  </si>
  <si>
    <t xml:space="preserve">Las filas «sin costo del fundador» corresponden a la tabla de indicadores del anexo II; las tres variantes, a la tabla del VAN con y sin el costo del fundador.</t>
  </si>
  <si>
    <t xml:space="preserve">Análisis de sensibilidad (escenario base salvo indicación)</t>
  </si>
  <si>
    <t xml:space="preserve">El VAN es lineal en el margen m: VAN(m) = m × VA(sesiones) − inversión − VA(costos fijos). Los valores que lo anulan se despejan de esa ecuación.</t>
  </si>
  <si>
    <t xml:space="preserve">Valor presente (Años 1 a 5)</t>
  </si>
  <si>
    <t xml:space="preserve">Suma</t>
  </si>
  <si>
    <t xml:space="preserve">Factor de descuento</t>
  </si>
  <si>
    <t xml:space="preserve">Sesiones anuales, base</t>
  </si>
  <si>
    <t xml:space="preserve">Sesiones anuales, pesimista</t>
  </si>
  <si>
    <t xml:space="preserve">Valor que anula el VAN</t>
  </si>
  <si>
    <t xml:space="preserve">Margen por sesión, base</t>
  </si>
  <si>
    <t xml:space="preserve">Comisión, base</t>
  </si>
  <si>
    <t xml:space="preserve">Comisión, pesimista</t>
  </si>
  <si>
    <t xml:space="preserve">Ticket por sesión</t>
  </si>
  <si>
    <t xml:space="preserve">Ticket por hora</t>
  </si>
  <si>
    <t xml:space="preserve">Ticket por hora en pesos</t>
  </si>
  <si>
    <t xml:space="preserve">Caída del volumen de sesiones</t>
  </si>
  <si>
    <t xml:space="preserve">Sesiones anuales promedio</t>
  </si>
  <si>
    <t xml:space="preserve">sesiones</t>
  </si>
  <si>
    <t xml:space="preserve">Descuento medio de paquete</t>
  </si>
  <si>
    <t xml:space="preserve">Costo mensual constante adicional</t>
  </si>
  <si>
    <t xml:space="preserve">USD/mes</t>
  </si>
  <si>
    <t xml:space="preserve">  equivalente en horas del fundador</t>
  </si>
  <si>
    <t xml:space="preserve">Inversión inicial, pesimista</t>
  </si>
  <si>
    <t xml:space="preserve">Inversión inicial, base</t>
  </si>
  <si>
    <t xml:space="preserve">Inversión inicial, optimista</t>
  </si>
  <si>
    <t xml:space="preserve">Ticket alternativo (escenario base)</t>
  </si>
  <si>
    <t xml:space="preserve">Ticket (USD)</t>
  </si>
  <si>
    <t xml:space="preserve">VAN base (USD)</t>
  </si>
  <si>
    <t xml:space="preserve">Todas las sesiones al piso de tarifa</t>
  </si>
  <si>
    <t xml:space="preserve">Mitad de las sesiones en paquete con 30 %</t>
  </si>
  <si>
    <t xml:space="preserve">Todas las sesiones en paquete con 30 %</t>
  </si>
  <si>
    <t xml:space="preserve">Duración de 45 minutos</t>
  </si>
  <si>
    <t xml:space="preserve">Duración de 60 minutos</t>
  </si>
  <si>
    <t xml:space="preserve">Comisión</t>
  </si>
  <si>
    <t xml:space="preserve">Margen</t>
  </si>
  <si>
    <t xml:space="preserve">VAN base</t>
  </si>
  <si>
    <t xml:space="preserve">TIR base</t>
  </si>
  <si>
    <t xml:space="preserve">VAN pesimista</t>
  </si>
  <si>
    <t xml:space="preserve">Neto del tutor</t>
  </si>
  <si>
    <t xml:space="preserve">Tipo de cambio (ARS/USD)</t>
  </si>
  <si>
    <t xml:space="preserve">Ticket</t>
  </si>
  <si>
    <t xml:space="preserve">Sesiones eq. Año 1</t>
  </si>
  <si>
    <t xml:space="preserve">Sesiones eq. Año 5</t>
  </si>
  <si>
    <t xml:space="preserve">Cota: inversión valorizada a tarifas de contratista (sin costo del fundador)</t>
  </si>
  <si>
    <t xml:space="preserve">Flujo neto pesimista</t>
  </si>
  <si>
    <t xml:space="preserve">Flujo neto base</t>
  </si>
  <si>
    <t xml:space="preserve">Flujo neto optimista</t>
  </si>
  <si>
    <t xml:space="preserve">Riesgo R-09: desarrollador rentado a jornada completa (sin costo del fundador)</t>
  </si>
  <si>
    <t xml:space="preserve">Perfil / escenario</t>
  </si>
  <si>
    <t xml:space="preserve">Costo anual</t>
  </si>
  <si>
    <t xml:space="preserve">VAN</t>
  </si>
  <si>
    <t xml:space="preserve">  Pesimista</t>
  </si>
  <si>
    <t xml:space="preserve">  Base</t>
  </si>
  <si>
    <t xml:space="preserve">  Optimista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</si>
</sst>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#,##0;\(#,##0\);\-"/>
    <numFmt numFmtId="167" formatCode="#,##0.00;\(#,##0.00\);\-"/>
    <numFmt numFmtId="168" formatCode="0.0%;\(0.0%\);\-"/>
    <numFmt numFmtId="169" formatCode="0.00%;\(0.00%\);\-"/>
    <numFmt numFmtId="170" formatCode="#,##0.0000;\(#,##0.0000\);\-"/>
    <numFmt numFmtId="171" formatCode="\$#,##0;&quot;($&quot;#,##0\);\-"/>
    <numFmt numFmtId="172" formatCode="#,##0.0;\(#,##0.0\);\-"/>
    <numFmt numFmtId="173" formatCode="0.0000"/>
    <numFmt numFmtId="174" formatCode="0.000"/>
    <numFmt numFmtId="175" formatCode="0.00"/>
    <numFmt numFmtId="176" formatCode="0.00&quot; años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6.85" hidden="false" customHeight="false" outlineLevel="0" collapsed="false">
      <c r="A21" s="2" t="s">
        <v>16</v>
      </c>
    </row>
    <row r="22" customFormat="false" ht="26.8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5" t="s">
        <v>18</v>
      </c>
      <c r="D1" s="6"/>
    </row>
    <row r="2" customFormat="false" ht="15" hidden="false" customHeight="false" outlineLevel="0" collapsed="false">
      <c r="D2" s="6"/>
    </row>
    <row r="3" customFormat="false" ht="15" hidden="false" customHeight="false" outlineLevel="0" collapsed="false">
      <c r="A3" s="7" t="s">
        <v>19</v>
      </c>
      <c r="B3" s="7" t="s">
        <v>20</v>
      </c>
      <c r="C3" s="7" t="s">
        <v>21</v>
      </c>
      <c r="D3" s="8" t="s">
        <v>22</v>
      </c>
    </row>
    <row r="4" customFormat="false" ht="15" hidden="false" customHeight="false" outlineLevel="0" collapsed="false">
      <c r="A4" s="9" t="s">
        <v>23</v>
      </c>
      <c r="B4" s="10" t="n">
        <v>13392.43</v>
      </c>
      <c r="C4" s="9" t="s">
        <v>24</v>
      </c>
      <c r="D4" s="11" t="s">
        <v>25</v>
      </c>
    </row>
    <row r="5" customFormat="false" ht="15" hidden="false" customHeight="false" outlineLevel="0" collapsed="false">
      <c r="A5" s="9" t="s">
        <v>26</v>
      </c>
      <c r="B5" s="12" t="n">
        <v>51</v>
      </c>
      <c r="C5" s="9" t="s">
        <v>27</v>
      </c>
      <c r="D5" s="11" t="s">
        <v>28</v>
      </c>
    </row>
    <row r="6" customFormat="false" ht="15" hidden="false" customHeight="false" outlineLevel="0" collapsed="false">
      <c r="A6" s="9" t="s">
        <v>29</v>
      </c>
      <c r="B6" s="12" t="n">
        <v>1535</v>
      </c>
      <c r="C6" s="9" t="s">
        <v>30</v>
      </c>
      <c r="D6" s="11" t="s">
        <v>31</v>
      </c>
    </row>
    <row r="7" customFormat="false" ht="15" hidden="false" customHeight="false" outlineLevel="0" collapsed="false">
      <c r="A7" s="9" t="s">
        <v>32</v>
      </c>
      <c r="B7" s="13" t="n">
        <f aca="false">ROUND(PrecioHoraARS*DuracionMin/60/TipoCambio,2)</f>
        <v>7.42</v>
      </c>
      <c r="C7" s="9" t="s">
        <v>33</v>
      </c>
      <c r="D7" s="11" t="s">
        <v>34</v>
      </c>
    </row>
    <row r="8" customFormat="false" ht="15" hidden="false" customHeight="false" outlineLevel="0" collapsed="false">
      <c r="A8" s="9" t="s">
        <v>35</v>
      </c>
      <c r="B8" s="14" t="n">
        <v>0.27</v>
      </c>
      <c r="C8" s="9" t="s">
        <v>36</v>
      </c>
      <c r="D8" s="11" t="s">
        <v>37</v>
      </c>
    </row>
    <row r="9" customFormat="false" ht="15" hidden="false" customHeight="false" outlineLevel="0" collapsed="false">
      <c r="A9" s="9" t="s">
        <v>38</v>
      </c>
      <c r="B9" s="15" t="n">
        <v>0.0604</v>
      </c>
      <c r="C9" s="9" t="s">
        <v>36</v>
      </c>
      <c r="D9" s="11" t="s">
        <v>39</v>
      </c>
    </row>
    <row r="10" customFormat="false" ht="15" hidden="false" customHeight="false" outlineLevel="0" collapsed="false">
      <c r="A10" s="9" t="s">
        <v>40</v>
      </c>
      <c r="B10" s="16" t="n">
        <f aca="false">Ticket*Comision</f>
        <v>2.0034</v>
      </c>
      <c r="C10" s="9" t="s">
        <v>33</v>
      </c>
      <c r="D10" s="11" t="s">
        <v>41</v>
      </c>
    </row>
    <row r="11" customFormat="false" ht="15" hidden="false" customHeight="false" outlineLevel="0" collapsed="false">
      <c r="A11" s="9" t="s">
        <v>42</v>
      </c>
      <c r="B11" s="12" t="n">
        <v>3</v>
      </c>
      <c r="C11" s="9" t="s">
        <v>43</v>
      </c>
      <c r="D11" s="11" t="s">
        <v>44</v>
      </c>
    </row>
    <row r="12" customFormat="false" ht="15" hidden="false" customHeight="false" outlineLevel="0" collapsed="false">
      <c r="A12" s="9" t="s">
        <v>45</v>
      </c>
      <c r="B12" s="14" t="n">
        <v>0.15</v>
      </c>
      <c r="C12" s="9" t="s">
        <v>46</v>
      </c>
      <c r="D12" s="11" t="s">
        <v>47</v>
      </c>
    </row>
    <row r="13" customFormat="false" ht="15" hidden="false" customHeight="false" outlineLevel="0" collapsed="false">
      <c r="A13" s="9" t="s">
        <v>48</v>
      </c>
      <c r="B13" s="17" t="n">
        <f aca="false">Inversión!F13</f>
        <v>10279</v>
      </c>
      <c r="C13" s="9" t="s">
        <v>49</v>
      </c>
      <c r="D13" s="11" t="s">
        <v>50</v>
      </c>
    </row>
    <row r="14" customFormat="false" ht="15" hidden="false" customHeight="false" outlineLevel="0" collapsed="false">
      <c r="A14" s="9" t="s">
        <v>51</v>
      </c>
      <c r="B14" s="18" t="n">
        <v>25730</v>
      </c>
      <c r="C14" s="9" t="s">
        <v>49</v>
      </c>
      <c r="D14" s="11" t="s">
        <v>52</v>
      </c>
    </row>
    <row r="15" customFormat="false" ht="15" hidden="false" customHeight="false" outlineLevel="0" collapsed="false">
      <c r="A15" s="9" t="s">
        <v>53</v>
      </c>
      <c r="B15" s="19" t="n">
        <v>4</v>
      </c>
      <c r="C15" s="9" t="s">
        <v>54</v>
      </c>
      <c r="D15" s="11" t="s">
        <v>55</v>
      </c>
    </row>
    <row r="16" customFormat="false" ht="15" hidden="false" customHeight="false" outlineLevel="0" collapsed="false">
      <c r="D16" s="6"/>
    </row>
    <row r="17" customFormat="false" ht="15" hidden="false" customHeight="false" outlineLevel="0" collapsed="false">
      <c r="A17" s="20" t="s">
        <v>56</v>
      </c>
      <c r="D17" s="6"/>
    </row>
    <row r="18" customFormat="false" ht="15" hidden="false" customHeight="false" outlineLevel="0" collapsed="false">
      <c r="A18" s="7" t="s">
        <v>19</v>
      </c>
      <c r="B18" s="7" t="s">
        <v>20</v>
      </c>
      <c r="C18" s="7" t="s">
        <v>21</v>
      </c>
      <c r="D18" s="8" t="s">
        <v>22</v>
      </c>
    </row>
    <row r="19" customFormat="false" ht="15" hidden="false" customHeight="false" outlineLevel="0" collapsed="false">
      <c r="A19" s="9" t="s">
        <v>57</v>
      </c>
      <c r="B19" s="21" t="n">
        <v>1316632</v>
      </c>
      <c r="C19" s="9" t="s">
        <v>58</v>
      </c>
      <c r="D19" s="11" t="s">
        <v>59</v>
      </c>
    </row>
    <row r="20" customFormat="false" ht="15" hidden="false" customHeight="false" outlineLevel="0" collapsed="false">
      <c r="A20" s="9" t="s">
        <v>60</v>
      </c>
      <c r="B20" s="22" t="n">
        <f aca="false">48*52/12</f>
        <v>208</v>
      </c>
      <c r="C20" s="9" t="s">
        <v>61</v>
      </c>
      <c r="D20" s="11" t="s">
        <v>62</v>
      </c>
    </row>
    <row r="21" customFormat="false" ht="15" hidden="false" customHeight="false" outlineLevel="0" collapsed="false">
      <c r="A21" s="9" t="s">
        <v>63</v>
      </c>
      <c r="B21" s="23" t="n">
        <f aca="false">13/12</f>
        <v>1.08333333333333</v>
      </c>
      <c r="C21" s="9"/>
      <c r="D21" s="11" t="s">
        <v>64</v>
      </c>
    </row>
    <row r="22" customFormat="false" ht="15" hidden="false" customHeight="false" outlineLevel="0" collapsed="false">
      <c r="A22" s="9" t="s">
        <v>65</v>
      </c>
      <c r="B22" s="13" t="n">
        <f aca="false">SalarioARS/HorasMes*FactorSAC/TipoCambio</f>
        <v>4.46739956568947</v>
      </c>
      <c r="C22" s="9" t="s">
        <v>54</v>
      </c>
      <c r="D22" s="11" t="s">
        <v>66</v>
      </c>
    </row>
    <row r="23" customFormat="false" ht="15" hidden="false" customHeight="false" outlineLevel="0" collapsed="false">
      <c r="A23" s="9" t="s">
        <v>67</v>
      </c>
      <c r="B23" s="24" t="n">
        <v>0.05</v>
      </c>
      <c r="C23" s="9" t="s">
        <v>68</v>
      </c>
      <c r="D23" s="11" t="s">
        <v>69</v>
      </c>
    </row>
    <row r="24" customFormat="false" ht="15" hidden="false" customHeight="false" outlineLevel="0" collapsed="false">
      <c r="A24" s="9" t="s">
        <v>70</v>
      </c>
      <c r="B24" s="12" t="n">
        <v>10</v>
      </c>
      <c r="C24" s="9" t="s">
        <v>71</v>
      </c>
      <c r="D24" s="11" t="s">
        <v>72</v>
      </c>
    </row>
    <row r="25" customFormat="false" ht="15" hidden="false" customHeight="false" outlineLevel="0" collapsed="false">
      <c r="A25" s="9" t="s">
        <v>73</v>
      </c>
      <c r="B25" s="24" t="n">
        <v>0.01</v>
      </c>
      <c r="C25" s="9" t="s">
        <v>68</v>
      </c>
      <c r="D25" s="11" t="s">
        <v>69</v>
      </c>
    </row>
    <row r="26" customFormat="false" ht="15" hidden="false" customHeight="false" outlineLevel="0" collapsed="false">
      <c r="A26" s="9" t="s">
        <v>74</v>
      </c>
      <c r="B26" s="12" t="n">
        <v>20</v>
      </c>
      <c r="C26" s="9" t="s">
        <v>71</v>
      </c>
      <c r="D26" s="11" t="s">
        <v>72</v>
      </c>
    </row>
    <row r="27" customFormat="false" ht="15" hidden="false" customHeight="false" outlineLevel="0" collapsed="false">
      <c r="A27" s="9" t="s">
        <v>75</v>
      </c>
      <c r="B27" s="24" t="n">
        <v>0.005</v>
      </c>
      <c r="C27" s="9" t="s">
        <v>68</v>
      </c>
      <c r="D27" s="11" t="s">
        <v>69</v>
      </c>
    </row>
    <row r="28" customFormat="false" ht="15" hidden="false" customHeight="false" outlineLevel="0" collapsed="false">
      <c r="A28" s="9" t="s">
        <v>76</v>
      </c>
      <c r="B28" s="12" t="n">
        <v>45</v>
      </c>
      <c r="C28" s="9" t="s">
        <v>71</v>
      </c>
      <c r="D28" s="11" t="s">
        <v>72</v>
      </c>
    </row>
    <row r="29" customFormat="false" ht="15" hidden="false" customHeight="false" outlineLevel="0" collapsed="false">
      <c r="A29" s="9" t="s">
        <v>77</v>
      </c>
      <c r="B29" s="12" t="n">
        <v>4</v>
      </c>
      <c r="C29" s="9" t="s">
        <v>78</v>
      </c>
      <c r="D29" s="11" t="s">
        <v>79</v>
      </c>
    </row>
    <row r="30" customFormat="false" ht="15" hidden="false" customHeight="false" outlineLevel="0" collapsed="false">
      <c r="A30" s="9" t="s">
        <v>80</v>
      </c>
      <c r="B30" s="12" t="n">
        <v>2</v>
      </c>
      <c r="C30" s="9" t="s">
        <v>81</v>
      </c>
      <c r="D30" s="11" t="s">
        <v>82</v>
      </c>
    </row>
    <row r="31" customFormat="false" ht="15" hidden="false" customHeight="false" outlineLevel="0" collapsed="false">
      <c r="A31" s="9" t="s">
        <v>83</v>
      </c>
      <c r="B31" s="12" t="n">
        <v>15</v>
      </c>
      <c r="C31" s="9" t="s">
        <v>71</v>
      </c>
      <c r="D31" s="11" t="s">
        <v>72</v>
      </c>
    </row>
    <row r="32" customFormat="false" ht="15" hidden="false" customHeight="false" outlineLevel="0" collapsed="false">
      <c r="A32" s="9" t="s">
        <v>84</v>
      </c>
      <c r="B32" s="22" t="n">
        <f aca="false">52/12</f>
        <v>4.33333333333333</v>
      </c>
      <c r="C32" s="9" t="s">
        <v>85</v>
      </c>
      <c r="D32" s="11" t="s">
        <v>86</v>
      </c>
    </row>
    <row r="33" customFormat="false" ht="15" hidden="false" customHeight="false" outlineLevel="0" collapsed="false">
      <c r="D33" s="6"/>
    </row>
    <row r="34" customFormat="false" ht="15" hidden="false" customHeight="false" outlineLevel="0" collapsed="false">
      <c r="A34" s="20" t="s">
        <v>87</v>
      </c>
      <c r="D34" s="6"/>
    </row>
    <row r="35" customFormat="false" ht="15" hidden="false" customHeight="false" outlineLevel="0" collapsed="false">
      <c r="A35" s="7" t="s">
        <v>19</v>
      </c>
      <c r="B35" s="7" t="s">
        <v>20</v>
      </c>
      <c r="C35" s="7" t="s">
        <v>21</v>
      </c>
      <c r="D35" s="8" t="s">
        <v>22</v>
      </c>
    </row>
    <row r="36" customFormat="false" ht="15" hidden="false" customHeight="false" outlineLevel="0" collapsed="false">
      <c r="A36" s="9" t="s">
        <v>88</v>
      </c>
      <c r="B36" s="18" t="n">
        <v>160</v>
      </c>
      <c r="C36" s="9" t="s">
        <v>61</v>
      </c>
      <c r="D36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5" t="s">
        <v>48</v>
      </c>
    </row>
    <row r="3" customFormat="false" ht="26.85" hidden="false" customHeight="false" outlineLevel="0" collapsed="false">
      <c r="A3" s="7" t="s">
        <v>90</v>
      </c>
      <c r="B3" s="7" t="s">
        <v>91</v>
      </c>
      <c r="C3" s="7" t="s">
        <v>92</v>
      </c>
      <c r="D3" s="7" t="s">
        <v>93</v>
      </c>
      <c r="E3" s="7" t="s">
        <v>21</v>
      </c>
      <c r="F3" s="7" t="s">
        <v>94</v>
      </c>
    </row>
    <row r="4" customFormat="false" ht="15" hidden="false" customHeight="false" outlineLevel="0" collapsed="false">
      <c r="A4" s="9" t="s">
        <v>95</v>
      </c>
      <c r="B4" s="9" t="s">
        <v>96</v>
      </c>
      <c r="C4" s="18" t="n">
        <v>192</v>
      </c>
      <c r="D4" s="25" t="n">
        <f aca="false">TarifaSenior</f>
        <v>17</v>
      </c>
      <c r="E4" s="9" t="s">
        <v>61</v>
      </c>
      <c r="F4" s="25" t="n">
        <f aca="false">C4*D4</f>
        <v>3264</v>
      </c>
    </row>
    <row r="5" customFormat="false" ht="15" hidden="false" customHeight="false" outlineLevel="0" collapsed="false">
      <c r="A5" s="9" t="s">
        <v>95</v>
      </c>
      <c r="B5" s="9" t="s">
        <v>97</v>
      </c>
      <c r="C5" s="18" t="n">
        <v>250</v>
      </c>
      <c r="D5" s="25" t="n">
        <f aca="false">TarifaSemiSenior</f>
        <v>11</v>
      </c>
      <c r="E5" s="9" t="s">
        <v>61</v>
      </c>
      <c r="F5" s="25" t="n">
        <f aca="false">C5*D5</f>
        <v>2750</v>
      </c>
    </row>
    <row r="6" customFormat="false" ht="15" hidden="false" customHeight="false" outlineLevel="0" collapsed="false">
      <c r="A6" s="9" t="s">
        <v>95</v>
      </c>
      <c r="B6" s="9" t="s">
        <v>98</v>
      </c>
      <c r="C6" s="18" t="n">
        <v>250</v>
      </c>
      <c r="D6" s="25" t="n">
        <f aca="false">TarifaJunior</f>
        <v>7</v>
      </c>
      <c r="E6" s="9" t="s">
        <v>61</v>
      </c>
      <c r="F6" s="25" t="n">
        <f aca="false">C6*D6</f>
        <v>1750</v>
      </c>
    </row>
    <row r="7" customFormat="false" ht="15" hidden="false" customHeight="false" outlineLevel="0" collapsed="false">
      <c r="A7" s="9" t="s">
        <v>95</v>
      </c>
      <c r="B7" s="9" t="s">
        <v>99</v>
      </c>
      <c r="C7" s="18" t="n">
        <v>120</v>
      </c>
      <c r="D7" s="25" t="n">
        <f aca="false">TarifaJunior</f>
        <v>7</v>
      </c>
      <c r="E7" s="9" t="s">
        <v>61</v>
      </c>
      <c r="F7" s="25" t="n">
        <f aca="false">C7*D7</f>
        <v>840</v>
      </c>
    </row>
    <row r="8" customFormat="false" ht="15" hidden="false" customHeight="false" outlineLevel="0" collapsed="false">
      <c r="A8" s="9" t="s">
        <v>100</v>
      </c>
      <c r="B8" s="9" t="s">
        <v>101</v>
      </c>
      <c r="C8" s="18" t="n">
        <v>6</v>
      </c>
      <c r="D8" s="18" t="n">
        <v>0</v>
      </c>
      <c r="E8" s="9" t="s">
        <v>102</v>
      </c>
      <c r="F8" s="25" t="n">
        <f aca="false">C8*D8</f>
        <v>0</v>
      </c>
    </row>
    <row r="9" customFormat="false" ht="15" hidden="false" customHeight="false" outlineLevel="0" collapsed="false">
      <c r="A9" s="9" t="s">
        <v>103</v>
      </c>
      <c r="B9" s="9" t="s">
        <v>104</v>
      </c>
      <c r="C9" s="18" t="n">
        <v>1</v>
      </c>
      <c r="D9" s="18" t="n">
        <v>15</v>
      </c>
      <c r="E9" s="9" t="s">
        <v>105</v>
      </c>
      <c r="F9" s="25" t="n">
        <f aca="false">C9*D9</f>
        <v>15</v>
      </c>
    </row>
    <row r="10" customFormat="false" ht="15" hidden="false" customHeight="false" outlineLevel="0" collapsed="false">
      <c r="A10" s="9" t="s">
        <v>106</v>
      </c>
      <c r="B10" s="9" t="s">
        <v>107</v>
      </c>
      <c r="C10" s="18" t="n">
        <v>1</v>
      </c>
      <c r="D10" s="18" t="n">
        <v>800</v>
      </c>
      <c r="E10" s="9" t="s">
        <v>108</v>
      </c>
      <c r="F10" s="25" t="n">
        <f aca="false">C10*D10</f>
        <v>800</v>
      </c>
    </row>
    <row r="11" customFormat="false" ht="15" hidden="false" customHeight="false" outlineLevel="0" collapsed="false">
      <c r="A11" s="9" t="s">
        <v>109</v>
      </c>
      <c r="B11" s="9" t="s">
        <v>110</v>
      </c>
      <c r="C11" s="26" t="n">
        <v>0.1</v>
      </c>
      <c r="D11" s="25" t="n">
        <f aca="false">SUM(F4:F7)</f>
        <v>8604</v>
      </c>
      <c r="E11" s="9" t="s">
        <v>111</v>
      </c>
      <c r="F11" s="25" t="n">
        <f aca="false">ROUND(C11*D11,0)</f>
        <v>860</v>
      </c>
    </row>
    <row r="13" customFormat="false" ht="15" hidden="false" customHeight="false" outlineLevel="0" collapsed="false">
      <c r="B13" s="27" t="s">
        <v>112</v>
      </c>
      <c r="F13" s="28" t="n">
        <f aca="false">SUM(F4:F10)+F11</f>
        <v>10279</v>
      </c>
    </row>
    <row r="15" customFormat="false" ht="15" hidden="false" customHeight="false" outlineLevel="0" collapsed="false">
      <c r="A15" s="20" t="s">
        <v>113</v>
      </c>
    </row>
    <row r="16" customFormat="false" ht="26.85" hidden="false" customHeight="false" outlineLevel="0" collapsed="false">
      <c r="A16" s="7" t="s">
        <v>114</v>
      </c>
      <c r="B16" s="7" t="s">
        <v>115</v>
      </c>
      <c r="C16" s="7" t="s">
        <v>116</v>
      </c>
      <c r="D16" s="7" t="s">
        <v>117</v>
      </c>
      <c r="E16" s="7"/>
      <c r="F16" s="7"/>
    </row>
    <row r="17" customFormat="false" ht="15" hidden="false" customHeight="false" outlineLevel="0" collapsed="false">
      <c r="A17" s="9" t="s">
        <v>118</v>
      </c>
      <c r="B17" s="29" t="n">
        <v>4100000</v>
      </c>
      <c r="C17" s="18" t="n">
        <v>160</v>
      </c>
      <c r="D17" s="25" t="n">
        <f aca="false">ROUND(B17/C17/TipoCambio,0)</f>
        <v>17</v>
      </c>
    </row>
    <row r="18" customFormat="false" ht="15" hidden="false" customHeight="false" outlineLevel="0" collapsed="false">
      <c r="A18" s="9" t="s">
        <v>119</v>
      </c>
      <c r="B18" s="29" t="n">
        <v>2800000</v>
      </c>
      <c r="C18" s="18" t="n">
        <v>160</v>
      </c>
      <c r="D18" s="25" t="n">
        <f aca="false">ROUND(B18/C18/TipoCambio,0)</f>
        <v>11</v>
      </c>
    </row>
    <row r="19" customFormat="false" ht="15" hidden="false" customHeight="false" outlineLevel="0" collapsed="false">
      <c r="A19" s="9" t="s">
        <v>120</v>
      </c>
      <c r="B19" s="29" t="n">
        <v>1667500</v>
      </c>
      <c r="C19" s="18" t="n">
        <v>160</v>
      </c>
      <c r="D19" s="25" t="n">
        <f aca="false">ROUND(B19/C19/TipoCambio,0)</f>
        <v>7</v>
      </c>
    </row>
    <row r="20" customFormat="false" ht="15" hidden="false" customHeight="false" outlineLevel="0" collapsed="false">
      <c r="A20" s="3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5" t="s">
        <v>122</v>
      </c>
    </row>
    <row r="3" customFormat="false" ht="15" hidden="false" customHeight="false" outlineLevel="0" collapsed="false">
      <c r="A3" s="7" t="s">
        <v>90</v>
      </c>
      <c r="B3" s="7" t="s">
        <v>123</v>
      </c>
      <c r="C3" s="7" t="s">
        <v>124</v>
      </c>
      <c r="D3" s="7" t="s">
        <v>125</v>
      </c>
      <c r="E3" s="7" t="s">
        <v>126</v>
      </c>
      <c r="F3" s="7" t="s">
        <v>127</v>
      </c>
      <c r="G3" s="7" t="s">
        <v>128</v>
      </c>
    </row>
    <row r="4" customFormat="false" ht="15" hidden="false" customHeight="false" outlineLevel="0" collapsed="false">
      <c r="A4" s="9" t="s">
        <v>100</v>
      </c>
      <c r="B4" s="9" t="s">
        <v>129</v>
      </c>
      <c r="C4" s="19" t="n">
        <v>45</v>
      </c>
      <c r="D4" s="19" t="n">
        <v>45</v>
      </c>
      <c r="E4" s="19" t="n">
        <v>50</v>
      </c>
      <c r="F4" s="19" t="n">
        <v>55</v>
      </c>
      <c r="G4" s="19" t="n">
        <v>60</v>
      </c>
    </row>
    <row r="5" customFormat="false" ht="15" hidden="false" customHeight="false" outlineLevel="0" collapsed="false">
      <c r="A5" s="9" t="s">
        <v>100</v>
      </c>
      <c r="B5" s="9" t="s">
        <v>130</v>
      </c>
      <c r="C5" s="19" t="n">
        <v>60</v>
      </c>
      <c r="D5" s="19" t="n">
        <v>60</v>
      </c>
      <c r="E5" s="19" t="n">
        <v>65</v>
      </c>
      <c r="F5" s="19" t="n">
        <v>70</v>
      </c>
      <c r="G5" s="19" t="n">
        <v>75</v>
      </c>
    </row>
    <row r="6" customFormat="false" ht="15" hidden="false" customHeight="false" outlineLevel="0" collapsed="false">
      <c r="A6" s="9" t="s">
        <v>103</v>
      </c>
      <c r="B6" s="9" t="s">
        <v>131</v>
      </c>
      <c r="C6" s="19" t="n">
        <v>150</v>
      </c>
      <c r="D6" s="19" t="n">
        <v>150</v>
      </c>
      <c r="E6" s="19" t="n">
        <v>150</v>
      </c>
      <c r="F6" s="19" t="n">
        <v>150</v>
      </c>
      <c r="G6" s="19" t="n">
        <v>150</v>
      </c>
    </row>
    <row r="7" customFormat="false" ht="15" hidden="false" customHeight="false" outlineLevel="0" collapsed="false">
      <c r="A7" s="9" t="s">
        <v>103</v>
      </c>
      <c r="B7" s="9" t="s">
        <v>132</v>
      </c>
      <c r="C7" s="19" t="n">
        <v>1.25</v>
      </c>
      <c r="D7" s="19" t="n">
        <v>1.25</v>
      </c>
      <c r="E7" s="19" t="n">
        <v>1.25</v>
      </c>
      <c r="F7" s="19" t="n">
        <v>1.25</v>
      </c>
      <c r="G7" s="19" t="n">
        <v>1.25</v>
      </c>
    </row>
    <row r="8" customFormat="false" ht="15" hidden="false" customHeight="false" outlineLevel="0" collapsed="false">
      <c r="A8" s="9" t="s">
        <v>133</v>
      </c>
      <c r="B8" s="9" t="s">
        <v>134</v>
      </c>
      <c r="C8" s="19" t="n">
        <v>40</v>
      </c>
      <c r="D8" s="19" t="n">
        <v>50</v>
      </c>
      <c r="E8" s="19" t="n">
        <v>60</v>
      </c>
      <c r="F8" s="19" t="n">
        <v>70</v>
      </c>
      <c r="G8" s="19" t="n">
        <v>80</v>
      </c>
    </row>
    <row r="10" customFormat="false" ht="15" hidden="false" customHeight="false" outlineLevel="0" collapsed="false">
      <c r="B10" s="27" t="s">
        <v>135</v>
      </c>
      <c r="C10" s="31" t="n">
        <f aca="false">SUM(C4:C8)</f>
        <v>296.25</v>
      </c>
      <c r="D10" s="31" t="n">
        <f aca="false">SUM(D4:D8)</f>
        <v>306.25</v>
      </c>
      <c r="E10" s="31" t="n">
        <f aca="false">SUM(E4:E8)</f>
        <v>326.25</v>
      </c>
      <c r="F10" s="31" t="n">
        <f aca="false">SUM(F4:F8)</f>
        <v>346.25</v>
      </c>
      <c r="G10" s="31" t="n">
        <f aca="false">SUM(G4:G8)</f>
        <v>366.25</v>
      </c>
    </row>
    <row r="11" customFormat="false" ht="15" hidden="false" customHeight="false" outlineLevel="0" collapsed="false">
      <c r="B11" s="27" t="s">
        <v>136</v>
      </c>
      <c r="C11" s="28" t="n">
        <f aca="false">C10*12</f>
        <v>3555</v>
      </c>
      <c r="D11" s="28" t="n">
        <f aca="false">D10*12</f>
        <v>3675</v>
      </c>
      <c r="E11" s="28" t="n">
        <f aca="false">E10*12</f>
        <v>3915</v>
      </c>
      <c r="F11" s="28" t="n">
        <f aca="false">F10*12</f>
        <v>4155</v>
      </c>
      <c r="G11" s="28" t="n">
        <f aca="false">G10*12</f>
        <v>4395</v>
      </c>
    </row>
    <row r="13" customFormat="false" ht="15" hidden="false" customHeight="false" outlineLevel="0" collapsed="false">
      <c r="A13" s="3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5" t="s">
        <v>138</v>
      </c>
    </row>
    <row r="3" customFormat="false" ht="15" hidden="false" customHeight="false" outlineLevel="0" collapsed="false">
      <c r="A3" s="7" t="s">
        <v>139</v>
      </c>
      <c r="B3" s="7" t="s">
        <v>124</v>
      </c>
      <c r="C3" s="7" t="s">
        <v>125</v>
      </c>
      <c r="D3" s="7" t="s">
        <v>126</v>
      </c>
      <c r="E3" s="7" t="s">
        <v>127</v>
      </c>
      <c r="F3" s="7" t="s">
        <v>128</v>
      </c>
      <c r="G3" s="7" t="s">
        <v>140</v>
      </c>
    </row>
    <row r="4" customFormat="false" ht="15" hidden="false" customHeight="false" outlineLevel="0" collapsed="false">
      <c r="A4" s="9" t="s">
        <v>141</v>
      </c>
      <c r="B4" s="12" t="n">
        <v>130</v>
      </c>
      <c r="C4" s="12" t="n">
        <v>110</v>
      </c>
      <c r="D4" s="12" t="n">
        <v>160</v>
      </c>
      <c r="E4" s="12" t="n">
        <v>140</v>
      </c>
      <c r="F4" s="12" t="n">
        <v>190</v>
      </c>
      <c r="G4" s="22" t="n">
        <f aca="false">AVERAGE(B4:F4)</f>
        <v>146</v>
      </c>
    </row>
    <row r="5" customFormat="false" ht="15" hidden="false" customHeight="false" outlineLevel="0" collapsed="false">
      <c r="A5" s="9" t="s">
        <v>142</v>
      </c>
      <c r="B5" s="12" t="n">
        <v>200</v>
      </c>
      <c r="C5" s="12" t="n">
        <v>260</v>
      </c>
      <c r="D5" s="12" t="n">
        <v>210</v>
      </c>
      <c r="E5" s="12" t="n">
        <v>290</v>
      </c>
      <c r="F5" s="12" t="n">
        <v>250</v>
      </c>
      <c r="G5" s="22" t="n">
        <f aca="false">AVERAGE(B5:F5)</f>
        <v>242</v>
      </c>
    </row>
    <row r="6" customFormat="false" ht="15" hidden="false" customHeight="false" outlineLevel="0" collapsed="false">
      <c r="A6" s="9" t="s">
        <v>143</v>
      </c>
      <c r="B6" s="12" t="n">
        <v>280</v>
      </c>
      <c r="C6" s="12" t="n">
        <v>420</v>
      </c>
      <c r="D6" s="12" t="n">
        <v>340</v>
      </c>
      <c r="E6" s="12" t="n">
        <v>480</v>
      </c>
      <c r="F6" s="12" t="n">
        <v>400</v>
      </c>
      <c r="G6" s="22" t="n">
        <f aca="false">AVERAGE(B6:F6)</f>
        <v>384</v>
      </c>
    </row>
    <row r="8" customFormat="false" ht="15" hidden="false" customHeight="false" outlineLevel="0" collapsed="false">
      <c r="A8" s="7" t="s">
        <v>144</v>
      </c>
      <c r="B8" s="7" t="s">
        <v>124</v>
      </c>
      <c r="C8" s="7" t="s">
        <v>125</v>
      </c>
      <c r="D8" s="7" t="s">
        <v>126</v>
      </c>
      <c r="E8" s="7" t="s">
        <v>127</v>
      </c>
      <c r="F8" s="7" t="s">
        <v>128</v>
      </c>
      <c r="G8" s="7" t="s">
        <v>140</v>
      </c>
    </row>
    <row r="9" customFormat="false" ht="15" hidden="false" customHeight="false" outlineLevel="0" collapsed="false">
      <c r="A9" s="9" t="s">
        <v>141</v>
      </c>
      <c r="B9" s="25" t="n">
        <f aca="false">B4*ClasesMes*12</f>
        <v>4680</v>
      </c>
      <c r="C9" s="25" t="n">
        <f aca="false">C4*ClasesMes*12</f>
        <v>3960</v>
      </c>
      <c r="D9" s="25" t="n">
        <f aca="false">D4*ClasesMes*12</f>
        <v>5760</v>
      </c>
      <c r="E9" s="25" t="n">
        <f aca="false">E4*ClasesMes*12</f>
        <v>5040</v>
      </c>
      <c r="F9" s="25" t="n">
        <f aca="false">F4*ClasesMes*12</f>
        <v>6840</v>
      </c>
      <c r="G9" s="25" t="n">
        <f aca="false">AVERAGE(B9:F9)</f>
        <v>5256</v>
      </c>
    </row>
    <row r="10" customFormat="false" ht="15" hidden="false" customHeight="false" outlineLevel="0" collapsed="false">
      <c r="A10" s="9" t="s">
        <v>142</v>
      </c>
      <c r="B10" s="25" t="n">
        <f aca="false">B5*ClasesMes*12</f>
        <v>7200</v>
      </c>
      <c r="C10" s="25" t="n">
        <f aca="false">C5*ClasesMes*12</f>
        <v>9360</v>
      </c>
      <c r="D10" s="25" t="n">
        <f aca="false">D5*ClasesMes*12</f>
        <v>7560</v>
      </c>
      <c r="E10" s="25" t="n">
        <f aca="false">E5*ClasesMes*12</f>
        <v>10440</v>
      </c>
      <c r="F10" s="25" t="n">
        <f aca="false">F5*ClasesMes*12</f>
        <v>9000</v>
      </c>
      <c r="G10" s="25" t="n">
        <f aca="false">AVERAGE(B10:F10)</f>
        <v>8712</v>
      </c>
    </row>
    <row r="11" customFormat="false" ht="15" hidden="false" customHeight="false" outlineLevel="0" collapsed="false">
      <c r="A11" s="9" t="s">
        <v>143</v>
      </c>
      <c r="B11" s="25" t="n">
        <f aca="false">B6*ClasesMes*12</f>
        <v>10080</v>
      </c>
      <c r="C11" s="25" t="n">
        <f aca="false">C6*ClasesMes*12</f>
        <v>15120</v>
      </c>
      <c r="D11" s="25" t="n">
        <f aca="false">D6*ClasesMes*12</f>
        <v>12240</v>
      </c>
      <c r="E11" s="25" t="n">
        <f aca="false">E6*ClasesMes*12</f>
        <v>17280</v>
      </c>
      <c r="F11" s="25" t="n">
        <f aca="false">F6*ClasesMes*12</f>
        <v>14400</v>
      </c>
      <c r="G11" s="25" t="n">
        <f aca="false">AVERAGE(B11:F11)</f>
        <v>13824</v>
      </c>
    </row>
    <row r="13" customFormat="false" ht="15" hidden="false" customHeight="false" outlineLevel="0" collapsed="false">
      <c r="A13" s="3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30" t="s">
        <v>147</v>
      </c>
    </row>
    <row r="4" customFormat="false" ht="15" hidden="false" customHeight="false" outlineLevel="0" collapsed="false">
      <c r="A4" s="20" t="s">
        <v>148</v>
      </c>
    </row>
    <row r="5" customFormat="false" ht="15" hidden="false" customHeight="false" outlineLevel="0" collapsed="false">
      <c r="A5" s="7" t="s">
        <v>91</v>
      </c>
      <c r="B5" s="7" t="s">
        <v>124</v>
      </c>
      <c r="C5" s="7" t="s">
        <v>125</v>
      </c>
      <c r="D5" s="7" t="s">
        <v>126</v>
      </c>
      <c r="E5" s="7" t="s">
        <v>127</v>
      </c>
      <c r="F5" s="7" t="s">
        <v>128</v>
      </c>
    </row>
    <row r="6" customFormat="false" ht="15" hidden="false" customHeight="false" outlineLevel="0" collapsed="false">
      <c r="A6" s="9" t="s">
        <v>149</v>
      </c>
      <c r="B6" s="25" t="n">
        <f aca="false">Demanda!B4*ClasesMes</f>
        <v>390</v>
      </c>
      <c r="C6" s="25" t="n">
        <f aca="false">Demanda!C4*ClasesMes</f>
        <v>330</v>
      </c>
      <c r="D6" s="25" t="n">
        <f aca="false">Demanda!D4*ClasesMes</f>
        <v>480</v>
      </c>
      <c r="E6" s="25" t="n">
        <f aca="false">Demanda!E4*ClasesMes</f>
        <v>420</v>
      </c>
      <c r="F6" s="25" t="n">
        <f aca="false">Demanda!F4*ClasesMes</f>
        <v>570</v>
      </c>
    </row>
    <row r="7" customFormat="false" ht="15" hidden="false" customHeight="false" outlineLevel="0" collapsed="false">
      <c r="A7" s="9" t="s">
        <v>150</v>
      </c>
      <c r="B7" s="22" t="n">
        <f aca="false">Demanda!B4/AlumnosPorTutor</f>
        <v>32.5</v>
      </c>
      <c r="C7" s="22" t="n">
        <f aca="false">Demanda!C4/AlumnosPorTutor</f>
        <v>27.5</v>
      </c>
      <c r="D7" s="22" t="n">
        <f aca="false">Demanda!D4/AlumnosPorTutor</f>
        <v>40</v>
      </c>
      <c r="E7" s="22" t="n">
        <f aca="false">Demanda!E4/AlumnosPorTutor</f>
        <v>35</v>
      </c>
      <c r="F7" s="22" t="n">
        <f aca="false">Demanda!F4/AlumnosPorTutor</f>
        <v>47.5</v>
      </c>
    </row>
    <row r="8" customFormat="false" ht="15" hidden="false" customHeight="false" outlineLevel="0" collapsed="false">
      <c r="A8" s="9" t="s">
        <v>151</v>
      </c>
      <c r="B8" s="22" t="n">
        <f aca="false">B6*TasaConsulta*MinConsulta/60</f>
        <v>3.25</v>
      </c>
      <c r="C8" s="22" t="n">
        <f aca="false">C6*TasaConsulta*MinConsulta/60</f>
        <v>2.75</v>
      </c>
      <c r="D8" s="22" t="n">
        <f aca="false">D6*TasaConsulta*MinConsulta/60</f>
        <v>4</v>
      </c>
      <c r="E8" s="22" t="n">
        <f aca="false">E6*TasaConsulta*MinConsulta/60</f>
        <v>3.5</v>
      </c>
      <c r="F8" s="22" t="n">
        <f aca="false">F6*TasaConsulta*MinConsulta/60</f>
        <v>4.75</v>
      </c>
    </row>
    <row r="9" customFormat="false" ht="15" hidden="false" customHeight="false" outlineLevel="0" collapsed="false">
      <c r="A9" s="9" t="s">
        <v>152</v>
      </c>
      <c r="B9" s="22" t="n">
        <f aca="false">B6*TasaDisputa*MinDisputa/60</f>
        <v>1.3</v>
      </c>
      <c r="C9" s="22" t="n">
        <f aca="false">C6*TasaDisputa*MinDisputa/60</f>
        <v>1.1</v>
      </c>
      <c r="D9" s="22" t="n">
        <f aca="false">D6*TasaDisputa*MinDisputa/60</f>
        <v>1.6</v>
      </c>
      <c r="E9" s="22" t="n">
        <f aca="false">E6*TasaDisputa*MinDisputa/60</f>
        <v>1.4</v>
      </c>
      <c r="F9" s="22" t="n">
        <f aca="false">F6*TasaDisputa*MinDisputa/60</f>
        <v>1.9</v>
      </c>
    </row>
    <row r="10" customFormat="false" ht="15" hidden="false" customHeight="false" outlineLevel="0" collapsed="false">
      <c r="A10" s="9" t="s">
        <v>153</v>
      </c>
      <c r="B10" s="22" t="n">
        <f aca="false">B6*TasaDenuncia*MinDenuncia/60</f>
        <v>1.4625</v>
      </c>
      <c r="C10" s="22" t="n">
        <f aca="false">C6*TasaDenuncia*MinDenuncia/60</f>
        <v>1.2375</v>
      </c>
      <c r="D10" s="22" t="n">
        <f aca="false">D6*TasaDenuncia*MinDenuncia/60</f>
        <v>1.8</v>
      </c>
      <c r="E10" s="22" t="n">
        <f aca="false">E6*TasaDenuncia*MinDenuncia/60</f>
        <v>1.575</v>
      </c>
      <c r="F10" s="22" t="n">
        <f aca="false">F6*TasaDenuncia*MinDenuncia/60</f>
        <v>2.1375</v>
      </c>
    </row>
    <row r="11" customFormat="false" ht="15" hidden="false" customHeight="false" outlineLevel="0" collapsed="false">
      <c r="A11" s="9" t="s">
        <v>154</v>
      </c>
      <c r="B11" s="22" t="n">
        <f aca="false">B7*DocsPorTutor/12*MinDocumento/60</f>
        <v>1.35416666666667</v>
      </c>
      <c r="C11" s="22" t="n">
        <f aca="false">C7*DocsPorTutor/12*MinDocumento/60</f>
        <v>1.14583333333333</v>
      </c>
      <c r="D11" s="22" t="n">
        <f aca="false">D7*DocsPorTutor/12*MinDocumento/60</f>
        <v>1.66666666666667</v>
      </c>
      <c r="E11" s="22" t="n">
        <f aca="false">E7*DocsPorTutor/12*MinDocumento/60</f>
        <v>1.45833333333333</v>
      </c>
      <c r="F11" s="22" t="n">
        <f aca="false">F7*DocsPorTutor/12*MinDocumento/60</f>
        <v>1.97916666666667</v>
      </c>
    </row>
    <row r="12" customFormat="false" ht="15" hidden="false" customHeight="false" outlineLevel="0" collapsed="false">
      <c r="A12" s="9" t="s">
        <v>155</v>
      </c>
      <c r="B12" s="22" t="n">
        <f aca="false">HorasFijasMes</f>
        <v>4.33333333333333</v>
      </c>
      <c r="C12" s="22" t="n">
        <f aca="false">HorasFijasMes</f>
        <v>4.33333333333333</v>
      </c>
      <c r="D12" s="22" t="n">
        <f aca="false">HorasFijasMes</f>
        <v>4.33333333333333</v>
      </c>
      <c r="E12" s="22" t="n">
        <f aca="false">HorasFijasMes</f>
        <v>4.33333333333333</v>
      </c>
      <c r="F12" s="22" t="n">
        <f aca="false">HorasFijasMes</f>
        <v>4.33333333333333</v>
      </c>
    </row>
    <row r="13" customFormat="false" ht="15" hidden="false" customHeight="false" outlineLevel="0" collapsed="false">
      <c r="A13" s="27" t="s">
        <v>156</v>
      </c>
      <c r="B13" s="22" t="n">
        <f aca="false">SUM(B8:B12)</f>
        <v>11.7</v>
      </c>
      <c r="C13" s="22" t="n">
        <f aca="false">SUM(C8:C12)</f>
        <v>10.5666666666667</v>
      </c>
      <c r="D13" s="22" t="n">
        <f aca="false">SUM(D8:D12)</f>
        <v>13.4</v>
      </c>
      <c r="E13" s="22" t="n">
        <f aca="false">SUM(E8:E12)</f>
        <v>12.2666666666667</v>
      </c>
      <c r="F13" s="22" t="n">
        <f aca="false">SUM(F8:F12)</f>
        <v>15.1</v>
      </c>
    </row>
    <row r="14" customFormat="false" ht="15" hidden="false" customHeight="false" outlineLevel="0" collapsed="false">
      <c r="A14" s="27" t="s">
        <v>157</v>
      </c>
      <c r="B14" s="25" t="n">
        <f aca="false">B13*ValorHoraUSD</f>
        <v>52.2685749185668</v>
      </c>
      <c r="C14" s="25" t="n">
        <f aca="false">C13*ValorHoraUSD</f>
        <v>47.205522077452</v>
      </c>
      <c r="D14" s="25" t="n">
        <f aca="false">D13*ValorHoraUSD</f>
        <v>59.8631541802389</v>
      </c>
      <c r="E14" s="25" t="n">
        <f aca="false">E13*ValorHoraUSD</f>
        <v>54.8001013391241</v>
      </c>
      <c r="F14" s="25" t="n">
        <f aca="false">F13*ValorHoraUSD</f>
        <v>67.457733441911</v>
      </c>
    </row>
    <row r="15" customFormat="false" ht="15" hidden="false" customHeight="false" outlineLevel="0" collapsed="false">
      <c r="A15" s="27" t="s">
        <v>158</v>
      </c>
      <c r="B15" s="25" t="n">
        <f aca="false">B14*12</f>
        <v>627.222899022801</v>
      </c>
      <c r="C15" s="25" t="n">
        <f aca="false">C14*12</f>
        <v>566.466264929425</v>
      </c>
      <c r="D15" s="25" t="n">
        <f aca="false">D14*12</f>
        <v>718.357850162866</v>
      </c>
      <c r="E15" s="25" t="n">
        <f aca="false">E14*12</f>
        <v>657.60121606949</v>
      </c>
      <c r="F15" s="25" t="n">
        <f aca="false">F14*12</f>
        <v>809.492801302931</v>
      </c>
    </row>
    <row r="17" customFormat="false" ht="15" hidden="false" customHeight="false" outlineLevel="0" collapsed="false">
      <c r="A17" s="20" t="s">
        <v>159</v>
      </c>
    </row>
    <row r="18" customFormat="false" ht="15" hidden="false" customHeight="false" outlineLevel="0" collapsed="false">
      <c r="A18" s="7" t="s">
        <v>91</v>
      </c>
      <c r="B18" s="7" t="s">
        <v>124</v>
      </c>
      <c r="C18" s="7" t="s">
        <v>125</v>
      </c>
      <c r="D18" s="7" t="s">
        <v>126</v>
      </c>
      <c r="E18" s="7" t="s">
        <v>127</v>
      </c>
      <c r="F18" s="7" t="s">
        <v>128</v>
      </c>
    </row>
    <row r="19" customFormat="false" ht="15" hidden="false" customHeight="false" outlineLevel="0" collapsed="false">
      <c r="A19" s="9" t="s">
        <v>149</v>
      </c>
      <c r="B19" s="25" t="n">
        <f aca="false">Demanda!B5*ClasesMes</f>
        <v>600</v>
      </c>
      <c r="C19" s="25" t="n">
        <f aca="false">Demanda!C5*ClasesMes</f>
        <v>780</v>
      </c>
      <c r="D19" s="25" t="n">
        <f aca="false">Demanda!D5*ClasesMes</f>
        <v>630</v>
      </c>
      <c r="E19" s="25" t="n">
        <f aca="false">Demanda!E5*ClasesMes</f>
        <v>870</v>
      </c>
      <c r="F19" s="25" t="n">
        <f aca="false">Demanda!F5*ClasesMes</f>
        <v>750</v>
      </c>
    </row>
    <row r="20" customFormat="false" ht="15" hidden="false" customHeight="false" outlineLevel="0" collapsed="false">
      <c r="A20" s="9" t="s">
        <v>150</v>
      </c>
      <c r="B20" s="22" t="n">
        <f aca="false">Demanda!B5/AlumnosPorTutor</f>
        <v>50</v>
      </c>
      <c r="C20" s="22" t="n">
        <f aca="false">Demanda!C5/AlumnosPorTutor</f>
        <v>65</v>
      </c>
      <c r="D20" s="22" t="n">
        <f aca="false">Demanda!D5/AlumnosPorTutor</f>
        <v>52.5</v>
      </c>
      <c r="E20" s="22" t="n">
        <f aca="false">Demanda!E5/AlumnosPorTutor</f>
        <v>72.5</v>
      </c>
      <c r="F20" s="22" t="n">
        <f aca="false">Demanda!F5/AlumnosPorTutor</f>
        <v>62.5</v>
      </c>
    </row>
    <row r="21" customFormat="false" ht="15" hidden="false" customHeight="false" outlineLevel="0" collapsed="false">
      <c r="A21" s="9" t="s">
        <v>151</v>
      </c>
      <c r="B21" s="22" t="n">
        <f aca="false">B19*TasaConsulta*MinConsulta/60</f>
        <v>5</v>
      </c>
      <c r="C21" s="22" t="n">
        <f aca="false">C19*TasaConsulta*MinConsulta/60</f>
        <v>6.5</v>
      </c>
      <c r="D21" s="22" t="n">
        <f aca="false">D19*TasaConsulta*MinConsulta/60</f>
        <v>5.25</v>
      </c>
      <c r="E21" s="22" t="n">
        <f aca="false">E19*TasaConsulta*MinConsulta/60</f>
        <v>7.25</v>
      </c>
      <c r="F21" s="22" t="n">
        <f aca="false">F19*TasaConsulta*MinConsulta/60</f>
        <v>6.25</v>
      </c>
    </row>
    <row r="22" customFormat="false" ht="15" hidden="false" customHeight="false" outlineLevel="0" collapsed="false">
      <c r="A22" s="9" t="s">
        <v>152</v>
      </c>
      <c r="B22" s="22" t="n">
        <f aca="false">B19*TasaDisputa*MinDisputa/60</f>
        <v>2</v>
      </c>
      <c r="C22" s="22" t="n">
        <f aca="false">C19*TasaDisputa*MinDisputa/60</f>
        <v>2.6</v>
      </c>
      <c r="D22" s="22" t="n">
        <f aca="false">D19*TasaDisputa*MinDisputa/60</f>
        <v>2.1</v>
      </c>
      <c r="E22" s="22" t="n">
        <f aca="false">E19*TasaDisputa*MinDisputa/60</f>
        <v>2.9</v>
      </c>
      <c r="F22" s="22" t="n">
        <f aca="false">F19*TasaDisputa*MinDisputa/60</f>
        <v>2.5</v>
      </c>
    </row>
    <row r="23" customFormat="false" ht="15" hidden="false" customHeight="false" outlineLevel="0" collapsed="false">
      <c r="A23" s="9" t="s">
        <v>153</v>
      </c>
      <c r="B23" s="22" t="n">
        <f aca="false">B19*TasaDenuncia*MinDenuncia/60</f>
        <v>2.25</v>
      </c>
      <c r="C23" s="22" t="n">
        <f aca="false">C19*TasaDenuncia*MinDenuncia/60</f>
        <v>2.925</v>
      </c>
      <c r="D23" s="22" t="n">
        <f aca="false">D19*TasaDenuncia*MinDenuncia/60</f>
        <v>2.3625</v>
      </c>
      <c r="E23" s="22" t="n">
        <f aca="false">E19*TasaDenuncia*MinDenuncia/60</f>
        <v>3.2625</v>
      </c>
      <c r="F23" s="22" t="n">
        <f aca="false">F19*TasaDenuncia*MinDenuncia/60</f>
        <v>2.8125</v>
      </c>
    </row>
    <row r="24" customFormat="false" ht="15" hidden="false" customHeight="false" outlineLevel="0" collapsed="false">
      <c r="A24" s="9" t="s">
        <v>154</v>
      </c>
      <c r="B24" s="22" t="n">
        <f aca="false">B20*DocsPorTutor/12*MinDocumento/60</f>
        <v>2.08333333333333</v>
      </c>
      <c r="C24" s="22" t="n">
        <f aca="false">C20*DocsPorTutor/12*MinDocumento/60</f>
        <v>2.70833333333333</v>
      </c>
      <c r="D24" s="22" t="n">
        <f aca="false">D20*DocsPorTutor/12*MinDocumento/60</f>
        <v>2.1875</v>
      </c>
      <c r="E24" s="22" t="n">
        <f aca="false">E20*DocsPorTutor/12*MinDocumento/60</f>
        <v>3.02083333333333</v>
      </c>
      <c r="F24" s="22" t="n">
        <f aca="false">F20*DocsPorTutor/12*MinDocumento/60</f>
        <v>2.60416666666667</v>
      </c>
    </row>
    <row r="25" customFormat="false" ht="15" hidden="false" customHeight="false" outlineLevel="0" collapsed="false">
      <c r="A25" s="9" t="s">
        <v>155</v>
      </c>
      <c r="B25" s="22" t="n">
        <f aca="false">HorasFijasMes</f>
        <v>4.33333333333333</v>
      </c>
      <c r="C25" s="22" t="n">
        <f aca="false">HorasFijasMes</f>
        <v>4.33333333333333</v>
      </c>
      <c r="D25" s="22" t="n">
        <f aca="false">HorasFijasMes</f>
        <v>4.33333333333333</v>
      </c>
      <c r="E25" s="22" t="n">
        <f aca="false">HorasFijasMes</f>
        <v>4.33333333333333</v>
      </c>
      <c r="F25" s="22" t="n">
        <f aca="false">HorasFijasMes</f>
        <v>4.33333333333333</v>
      </c>
    </row>
    <row r="26" customFormat="false" ht="15" hidden="false" customHeight="false" outlineLevel="0" collapsed="false">
      <c r="A26" s="27" t="s">
        <v>156</v>
      </c>
      <c r="B26" s="22" t="n">
        <f aca="false">SUM(B21:B25)</f>
        <v>15.6666666666667</v>
      </c>
      <c r="C26" s="22" t="n">
        <f aca="false">SUM(C21:C25)</f>
        <v>19.0666666666667</v>
      </c>
      <c r="D26" s="22" t="n">
        <f aca="false">SUM(D21:D25)</f>
        <v>16.2333333333333</v>
      </c>
      <c r="E26" s="22" t="n">
        <f aca="false">SUM(E21:E25)</f>
        <v>20.7666666666667</v>
      </c>
      <c r="F26" s="22" t="n">
        <f aca="false">SUM(F21:F25)</f>
        <v>18.5</v>
      </c>
    </row>
    <row r="27" customFormat="false" ht="15" hidden="false" customHeight="false" outlineLevel="0" collapsed="false">
      <c r="A27" s="27" t="s">
        <v>157</v>
      </c>
      <c r="B27" s="25" t="n">
        <f aca="false">B26*ValorHoraUSD</f>
        <v>69.9892598624683</v>
      </c>
      <c r="C27" s="25" t="n">
        <f aca="false">C26*ValorHoraUSD</f>
        <v>85.1784183858125</v>
      </c>
      <c r="D27" s="25" t="n">
        <f aca="false">D26*ValorHoraUSD</f>
        <v>72.5207862830257</v>
      </c>
      <c r="E27" s="25" t="n">
        <f aca="false">E26*ValorHoraUSD</f>
        <v>92.7729976474846</v>
      </c>
      <c r="F27" s="25" t="n">
        <f aca="false">F26*ValorHoraUSD</f>
        <v>82.6468919652551</v>
      </c>
    </row>
    <row r="28" customFormat="false" ht="15" hidden="false" customHeight="false" outlineLevel="0" collapsed="false">
      <c r="A28" s="27" t="s">
        <v>158</v>
      </c>
      <c r="B28" s="25" t="n">
        <f aca="false">B27*12</f>
        <v>839.87111834962</v>
      </c>
      <c r="C28" s="25" t="n">
        <f aca="false">C27*12</f>
        <v>1022.14102062975</v>
      </c>
      <c r="D28" s="25" t="n">
        <f aca="false">D27*12</f>
        <v>870.249435396308</v>
      </c>
      <c r="E28" s="25" t="n">
        <f aca="false">E27*12</f>
        <v>1113.27597176982</v>
      </c>
      <c r="F28" s="25" t="n">
        <f aca="false">F27*12</f>
        <v>991.762703583062</v>
      </c>
    </row>
    <row r="30" customFormat="false" ht="15" hidden="false" customHeight="false" outlineLevel="0" collapsed="false">
      <c r="A30" s="20" t="s">
        <v>160</v>
      </c>
    </row>
    <row r="31" customFormat="false" ht="15" hidden="false" customHeight="false" outlineLevel="0" collapsed="false">
      <c r="A31" s="7" t="s">
        <v>91</v>
      </c>
      <c r="B31" s="7" t="s">
        <v>124</v>
      </c>
      <c r="C31" s="7" t="s">
        <v>125</v>
      </c>
      <c r="D31" s="7" t="s">
        <v>126</v>
      </c>
      <c r="E31" s="7" t="s">
        <v>127</v>
      </c>
      <c r="F31" s="7" t="s">
        <v>128</v>
      </c>
    </row>
    <row r="32" customFormat="false" ht="15" hidden="false" customHeight="false" outlineLevel="0" collapsed="false">
      <c r="A32" s="9" t="s">
        <v>149</v>
      </c>
      <c r="B32" s="25" t="n">
        <f aca="false">Demanda!B6*ClasesMes</f>
        <v>840</v>
      </c>
      <c r="C32" s="25" t="n">
        <f aca="false">Demanda!C6*ClasesMes</f>
        <v>1260</v>
      </c>
      <c r="D32" s="25" t="n">
        <f aca="false">Demanda!D6*ClasesMes</f>
        <v>1020</v>
      </c>
      <c r="E32" s="25" t="n">
        <f aca="false">Demanda!E6*ClasesMes</f>
        <v>1440</v>
      </c>
      <c r="F32" s="25" t="n">
        <f aca="false">Demanda!F6*ClasesMes</f>
        <v>1200</v>
      </c>
    </row>
    <row r="33" customFormat="false" ht="15" hidden="false" customHeight="false" outlineLevel="0" collapsed="false">
      <c r="A33" s="9" t="s">
        <v>150</v>
      </c>
      <c r="B33" s="22" t="n">
        <f aca="false">Demanda!B6/AlumnosPorTutor</f>
        <v>70</v>
      </c>
      <c r="C33" s="22" t="n">
        <f aca="false">Demanda!C6/AlumnosPorTutor</f>
        <v>105</v>
      </c>
      <c r="D33" s="22" t="n">
        <f aca="false">Demanda!D6/AlumnosPorTutor</f>
        <v>85</v>
      </c>
      <c r="E33" s="22" t="n">
        <f aca="false">Demanda!E6/AlumnosPorTutor</f>
        <v>120</v>
      </c>
      <c r="F33" s="22" t="n">
        <f aca="false">Demanda!F6/AlumnosPorTutor</f>
        <v>100</v>
      </c>
    </row>
    <row r="34" customFormat="false" ht="15" hidden="false" customHeight="false" outlineLevel="0" collapsed="false">
      <c r="A34" s="9" t="s">
        <v>151</v>
      </c>
      <c r="B34" s="22" t="n">
        <f aca="false">B32*TasaConsulta*MinConsulta/60</f>
        <v>7</v>
      </c>
      <c r="C34" s="22" t="n">
        <f aca="false">C32*TasaConsulta*MinConsulta/60</f>
        <v>10.5</v>
      </c>
      <c r="D34" s="22" t="n">
        <f aca="false">D32*TasaConsulta*MinConsulta/60</f>
        <v>8.5</v>
      </c>
      <c r="E34" s="22" t="n">
        <f aca="false">E32*TasaConsulta*MinConsulta/60</f>
        <v>12</v>
      </c>
      <c r="F34" s="22" t="n">
        <f aca="false">F32*TasaConsulta*MinConsulta/60</f>
        <v>10</v>
      </c>
    </row>
    <row r="35" customFormat="false" ht="15" hidden="false" customHeight="false" outlineLevel="0" collapsed="false">
      <c r="A35" s="9" t="s">
        <v>152</v>
      </c>
      <c r="B35" s="22" t="n">
        <f aca="false">B32*TasaDisputa*MinDisputa/60</f>
        <v>2.8</v>
      </c>
      <c r="C35" s="22" t="n">
        <f aca="false">C32*TasaDisputa*MinDisputa/60</f>
        <v>4.2</v>
      </c>
      <c r="D35" s="22" t="n">
        <f aca="false">D32*TasaDisputa*MinDisputa/60</f>
        <v>3.4</v>
      </c>
      <c r="E35" s="22" t="n">
        <f aca="false">E32*TasaDisputa*MinDisputa/60</f>
        <v>4.8</v>
      </c>
      <c r="F35" s="22" t="n">
        <f aca="false">F32*TasaDisputa*MinDisputa/60</f>
        <v>4</v>
      </c>
    </row>
    <row r="36" customFormat="false" ht="15" hidden="false" customHeight="false" outlineLevel="0" collapsed="false">
      <c r="A36" s="9" t="s">
        <v>153</v>
      </c>
      <c r="B36" s="22" t="n">
        <f aca="false">B32*TasaDenuncia*MinDenuncia/60</f>
        <v>3.15</v>
      </c>
      <c r="C36" s="22" t="n">
        <f aca="false">C32*TasaDenuncia*MinDenuncia/60</f>
        <v>4.725</v>
      </c>
      <c r="D36" s="22" t="n">
        <f aca="false">D32*TasaDenuncia*MinDenuncia/60</f>
        <v>3.825</v>
      </c>
      <c r="E36" s="22" t="n">
        <f aca="false">E32*TasaDenuncia*MinDenuncia/60</f>
        <v>5.4</v>
      </c>
      <c r="F36" s="22" t="n">
        <f aca="false">F32*TasaDenuncia*MinDenuncia/60</f>
        <v>4.5</v>
      </c>
    </row>
    <row r="37" customFormat="false" ht="15" hidden="false" customHeight="false" outlineLevel="0" collapsed="false">
      <c r="A37" s="9" t="s">
        <v>154</v>
      </c>
      <c r="B37" s="22" t="n">
        <f aca="false">B33*DocsPorTutor/12*MinDocumento/60</f>
        <v>2.91666666666667</v>
      </c>
      <c r="C37" s="22" t="n">
        <f aca="false">C33*DocsPorTutor/12*MinDocumento/60</f>
        <v>4.375</v>
      </c>
      <c r="D37" s="22" t="n">
        <f aca="false">D33*DocsPorTutor/12*MinDocumento/60</f>
        <v>3.54166666666667</v>
      </c>
      <c r="E37" s="22" t="n">
        <f aca="false">E33*DocsPorTutor/12*MinDocumento/60</f>
        <v>5</v>
      </c>
      <c r="F37" s="22" t="n">
        <f aca="false">F33*DocsPorTutor/12*MinDocumento/60</f>
        <v>4.16666666666667</v>
      </c>
    </row>
    <row r="38" customFormat="false" ht="15" hidden="false" customHeight="false" outlineLevel="0" collapsed="false">
      <c r="A38" s="9" t="s">
        <v>155</v>
      </c>
      <c r="B38" s="22" t="n">
        <f aca="false">HorasFijasMes</f>
        <v>4.33333333333333</v>
      </c>
      <c r="C38" s="22" t="n">
        <f aca="false">HorasFijasMes</f>
        <v>4.33333333333333</v>
      </c>
      <c r="D38" s="22" t="n">
        <f aca="false">HorasFijasMes</f>
        <v>4.33333333333333</v>
      </c>
      <c r="E38" s="22" t="n">
        <f aca="false">HorasFijasMes</f>
        <v>4.33333333333333</v>
      </c>
      <c r="F38" s="22" t="n">
        <f aca="false">HorasFijasMes</f>
        <v>4.33333333333333</v>
      </c>
    </row>
    <row r="39" customFormat="false" ht="15" hidden="false" customHeight="false" outlineLevel="0" collapsed="false">
      <c r="A39" s="27" t="s">
        <v>156</v>
      </c>
      <c r="B39" s="22" t="n">
        <f aca="false">SUM(B34:B38)</f>
        <v>20.2</v>
      </c>
      <c r="C39" s="22" t="n">
        <f aca="false">SUM(C34:C38)</f>
        <v>28.1333333333333</v>
      </c>
      <c r="D39" s="22" t="n">
        <f aca="false">SUM(D34:D38)</f>
        <v>23.6</v>
      </c>
      <c r="E39" s="22" t="n">
        <f aca="false">SUM(E34:E38)</f>
        <v>31.5333333333333</v>
      </c>
      <c r="F39" s="22" t="n">
        <f aca="false">SUM(F34:F38)</f>
        <v>27</v>
      </c>
    </row>
    <row r="40" customFormat="false" ht="15" hidden="false" customHeight="false" outlineLevel="0" collapsed="false">
      <c r="A40" s="27" t="s">
        <v>157</v>
      </c>
      <c r="B40" s="25" t="n">
        <f aca="false">B39*ValorHoraUSD</f>
        <v>90.2414712269272</v>
      </c>
      <c r="C40" s="25" t="n">
        <f aca="false">C39*ValorHoraUSD</f>
        <v>125.68284111473</v>
      </c>
      <c r="D40" s="25" t="n">
        <f aca="false">D39*ValorHoraUSD</f>
        <v>105.430629750271</v>
      </c>
      <c r="E40" s="25" t="n">
        <f aca="false">E39*ValorHoraUSD</f>
        <v>140.871999638075</v>
      </c>
      <c r="F40" s="25" t="n">
        <f aca="false">F39*ValorHoraUSD</f>
        <v>120.619788273616</v>
      </c>
    </row>
    <row r="41" customFormat="false" ht="15" hidden="false" customHeight="false" outlineLevel="0" collapsed="false">
      <c r="A41" s="27" t="s">
        <v>158</v>
      </c>
      <c r="B41" s="25" t="n">
        <f aca="false">B40*12</f>
        <v>1082.89765472313</v>
      </c>
      <c r="C41" s="25" t="n">
        <f aca="false">C40*12</f>
        <v>1508.19409337676</v>
      </c>
      <c r="D41" s="25" t="n">
        <f aca="false">D40*12</f>
        <v>1265.16755700326</v>
      </c>
      <c r="E41" s="25" t="n">
        <f aca="false">E40*12</f>
        <v>1690.46399565689</v>
      </c>
      <c r="F41" s="25" t="n">
        <f aca="false">F40*12</f>
        <v>1447.43745928339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5" t="s">
        <v>161</v>
      </c>
    </row>
    <row r="2" customFormat="false" ht="15" hidden="false" customHeight="false" outlineLevel="0" collapsed="false">
      <c r="A2" s="30" t="s">
        <v>162</v>
      </c>
    </row>
    <row r="4" customFormat="false" ht="15" hidden="false" customHeight="false" outlineLevel="0" collapsed="false">
      <c r="A4" s="20" t="s">
        <v>148</v>
      </c>
    </row>
    <row r="5" customFormat="false" ht="15" hidden="false" customHeight="false" outlineLevel="0" collapsed="false">
      <c r="A5" s="7" t="s">
        <v>91</v>
      </c>
      <c r="B5" s="7" t="s">
        <v>163</v>
      </c>
      <c r="C5" s="7" t="s">
        <v>124</v>
      </c>
      <c r="D5" s="7" t="s">
        <v>125</v>
      </c>
      <c r="E5" s="7" t="s">
        <v>126</v>
      </c>
      <c r="F5" s="7" t="s">
        <v>127</v>
      </c>
      <c r="G5" s="7" t="s">
        <v>128</v>
      </c>
    </row>
    <row r="6" customFormat="false" ht="15" hidden="false" customHeight="false" outlineLevel="0" collapsed="false">
      <c r="A6" s="9" t="s">
        <v>144</v>
      </c>
      <c r="C6" s="17" t="n">
        <f aca="false">Demanda!B9</f>
        <v>4680</v>
      </c>
      <c r="D6" s="17" t="n">
        <f aca="false">Demanda!C9</f>
        <v>3960</v>
      </c>
      <c r="E6" s="17" t="n">
        <f aca="false">Demanda!D9</f>
        <v>5760</v>
      </c>
      <c r="F6" s="17" t="n">
        <f aca="false">Demanda!E9</f>
        <v>5040</v>
      </c>
      <c r="G6" s="17" t="n">
        <f aca="false">Demanda!F9</f>
        <v>6840</v>
      </c>
    </row>
    <row r="7" customFormat="false" ht="15" hidden="false" customHeight="false" outlineLevel="0" collapsed="false">
      <c r="A7" s="9" t="s">
        <v>164</v>
      </c>
      <c r="C7" s="25" t="n">
        <f aca="false">C6*Margen</f>
        <v>9375.912</v>
      </c>
      <c r="D7" s="25" t="n">
        <f aca="false">D6*Margen</f>
        <v>7933.464</v>
      </c>
      <c r="E7" s="25" t="n">
        <f aca="false">E6*Margen</f>
        <v>11539.584</v>
      </c>
      <c r="F7" s="25" t="n">
        <f aca="false">F6*Margen</f>
        <v>10097.136</v>
      </c>
      <c r="G7" s="25" t="n">
        <f aca="false">G6*Margen</f>
        <v>13703.256</v>
      </c>
    </row>
    <row r="8" customFormat="false" ht="15" hidden="false" customHeight="false" outlineLevel="0" collapsed="false">
      <c r="A8" s="9" t="s">
        <v>165</v>
      </c>
      <c r="C8" s="17" t="n">
        <f aca="false">'Costos fijos'!C11</f>
        <v>3555</v>
      </c>
      <c r="D8" s="17" t="n">
        <f aca="false">'Costos fijos'!D11</f>
        <v>3675</v>
      </c>
      <c r="E8" s="17" t="n">
        <f aca="false">'Costos fijos'!E11</f>
        <v>3915</v>
      </c>
      <c r="F8" s="17" t="n">
        <f aca="false">'Costos fijos'!F11</f>
        <v>4155</v>
      </c>
      <c r="G8" s="17" t="n">
        <f aca="false">'Costos fijos'!G11</f>
        <v>4395</v>
      </c>
    </row>
    <row r="9" customFormat="false" ht="15" hidden="false" customHeight="false" outlineLevel="0" collapsed="false">
      <c r="A9" s="9" t="s">
        <v>56</v>
      </c>
      <c r="C9" s="17" t="n">
        <f aca="false">Fundador!B15</f>
        <v>627.222899022801</v>
      </c>
      <c r="D9" s="17" t="n">
        <f aca="false">Fundador!C15</f>
        <v>566.466264929425</v>
      </c>
      <c r="E9" s="17" t="n">
        <f aca="false">Fundador!D15</f>
        <v>718.357850162866</v>
      </c>
      <c r="F9" s="17" t="n">
        <f aca="false">Fundador!E15</f>
        <v>657.60121606949</v>
      </c>
      <c r="G9" s="17" t="n">
        <f aca="false">Fundador!F15</f>
        <v>809.492801302931</v>
      </c>
    </row>
    <row r="11" customFormat="false" ht="15" hidden="false" customHeight="false" outlineLevel="0" collapsed="false">
      <c r="A11" s="27" t="s">
        <v>166</v>
      </c>
      <c r="B11" s="32" t="n">
        <f aca="false">-Inversion</f>
        <v>-10279</v>
      </c>
      <c r="C11" s="32" t="n">
        <f aca="false">C7-C8</f>
        <v>5820.912</v>
      </c>
      <c r="D11" s="32" t="n">
        <f aca="false">D7-D8</f>
        <v>4258.464</v>
      </c>
      <c r="E11" s="32" t="n">
        <f aca="false">E7-E8</f>
        <v>7624.584</v>
      </c>
      <c r="F11" s="32" t="n">
        <f aca="false">F7-F8</f>
        <v>5942.136</v>
      </c>
      <c r="G11" s="32" t="n">
        <f aca="false">G7-G8</f>
        <v>9308.256</v>
      </c>
    </row>
    <row r="12" customFormat="false" ht="15" hidden="false" customHeight="false" outlineLevel="0" collapsed="false">
      <c r="A12" s="30" t="s">
        <v>167</v>
      </c>
      <c r="B12" s="25" t="n">
        <f aca="false">B11</f>
        <v>-10279</v>
      </c>
      <c r="C12" s="25" t="n">
        <f aca="false">B12+C11</f>
        <v>-4458.088</v>
      </c>
      <c r="D12" s="25" t="n">
        <f aca="false">C12+D11</f>
        <v>-199.624</v>
      </c>
      <c r="E12" s="25" t="n">
        <f aca="false">D12+E11</f>
        <v>7424.96</v>
      </c>
      <c r="F12" s="25" t="n">
        <f aca="false">E12+F11</f>
        <v>13367.096</v>
      </c>
      <c r="G12" s="25" t="n">
        <f aca="false">F12+G11</f>
        <v>22675.352</v>
      </c>
    </row>
    <row r="13" customFormat="false" ht="15" hidden="false" customHeight="false" outlineLevel="0" collapsed="false">
      <c r="A13" s="30" t="s">
        <v>168</v>
      </c>
      <c r="C13" s="33" t="str">
        <f aca="false">IF(AND(B12&lt;0,C12&gt;=0),0+ABS(B12)/C11,"")</f>
        <v/>
      </c>
      <c r="D13" s="33" t="str">
        <f aca="false">IF(AND(C12&lt;0,D12&gt;=0),1+ABS(C12)/D11,"")</f>
        <v/>
      </c>
      <c r="E13" s="33" t="n">
        <f aca="false">IF(AND(D12&lt;0,E12&gt;=0),2+ABS(D12)/E11,"")</f>
        <v>2.02618162512211</v>
      </c>
      <c r="F13" s="33" t="str">
        <f aca="false">IF(AND(E12&lt;0,F12&gt;=0),3+ABS(E12)/F11,"")</f>
        <v/>
      </c>
      <c r="G13" s="33" t="str">
        <f aca="false">IF(AND(F12&lt;0,G12&gt;=0),4+ABS(F12)/G11,"")</f>
        <v/>
      </c>
    </row>
    <row r="14" customFormat="false" ht="15" hidden="false" customHeight="false" outlineLevel="0" collapsed="false">
      <c r="A14" s="30" t="s">
        <v>169</v>
      </c>
      <c r="B14" s="25" t="n">
        <f aca="false">B11/(1+Tasa)^0</f>
        <v>-10279</v>
      </c>
      <c r="C14" s="25" t="n">
        <f aca="false">C11/(1+Tasa)^1</f>
        <v>5061.66260869565</v>
      </c>
      <c r="D14" s="25" t="n">
        <f aca="false">D11/(1+Tasa)^2</f>
        <v>3220.01058601134</v>
      </c>
      <c r="E14" s="25" t="n">
        <f aca="false">E11/(1+Tasa)^3</f>
        <v>5013.28774554122</v>
      </c>
      <c r="F14" s="25" t="n">
        <f aca="false">F11/(1+Tasa)^4</f>
        <v>3397.43554375521</v>
      </c>
      <c r="G14" s="25" t="n">
        <f aca="false">G11/(1+Tasa)^5</f>
        <v>4627.84832940072</v>
      </c>
    </row>
    <row r="15" customFormat="false" ht="15" hidden="false" customHeight="false" outlineLevel="0" collapsed="false">
      <c r="A15" s="30" t="s">
        <v>170</v>
      </c>
      <c r="B15" s="25" t="n">
        <f aca="false">B14</f>
        <v>-10279</v>
      </c>
      <c r="C15" s="25" t="n">
        <f aca="false">B15+C14</f>
        <v>-5217.33739130435</v>
      </c>
      <c r="D15" s="25" t="n">
        <f aca="false">C15+D14</f>
        <v>-1997.326805293</v>
      </c>
      <c r="E15" s="25" t="n">
        <f aca="false">D15+E14</f>
        <v>3015.96094024821</v>
      </c>
      <c r="F15" s="25" t="n">
        <f aca="false">E15+F14</f>
        <v>6413.39648400342</v>
      </c>
      <c r="G15" s="25" t="n">
        <f aca="false">F15+G14</f>
        <v>11041.2448134041</v>
      </c>
    </row>
    <row r="16" customFormat="false" ht="15" hidden="false" customHeight="false" outlineLevel="0" collapsed="false">
      <c r="A16" s="30" t="s">
        <v>171</v>
      </c>
      <c r="C16" s="33" t="str">
        <f aca="false">IF(AND(B15&lt;0,C15&gt;=0),0+ABS(B15)/C14,"")</f>
        <v/>
      </c>
      <c r="D16" s="33" t="str">
        <f aca="false">IF(AND(C15&lt;0,D15&gt;=0),1+ABS(C15)/D14,"")</f>
        <v/>
      </c>
      <c r="E16" s="33" t="n">
        <f aca="false">IF(AND(D15&lt;0,E15&gt;=0),2+ABS(D15)/E14,"")</f>
        <v>2.39840657601779</v>
      </c>
      <c r="F16" s="33" t="str">
        <f aca="false">IF(AND(E15&lt;0,F15&gt;=0),3+ABS(E15)/F14,"")</f>
        <v/>
      </c>
      <c r="G16" s="33" t="str">
        <f aca="false">IF(AND(F15&lt;0,G15&gt;=0),4+ABS(F15)/G14,"")</f>
        <v/>
      </c>
    </row>
    <row r="18" customFormat="false" ht="15" hidden="false" customHeight="false" outlineLevel="0" collapsed="false">
      <c r="A18" s="27" t="s">
        <v>172</v>
      </c>
      <c r="B18" s="32" t="n">
        <f aca="false">-Inversion</f>
        <v>-10279</v>
      </c>
      <c r="C18" s="32" t="n">
        <f aca="false">C7-C8-1*C9</f>
        <v>5193.6891009772</v>
      </c>
      <c r="D18" s="32" t="n">
        <f aca="false">D7-D8-1*D9</f>
        <v>3691.99773507058</v>
      </c>
      <c r="E18" s="32" t="n">
        <f aca="false">E7-E8-1*E9</f>
        <v>6906.22614983713</v>
      </c>
      <c r="F18" s="32" t="n">
        <f aca="false">F7-F8-1*F9</f>
        <v>5284.53478393051</v>
      </c>
      <c r="G18" s="32" t="n">
        <f aca="false">G7-G8-1*G9</f>
        <v>8498.76319869707</v>
      </c>
    </row>
    <row r="19" customFormat="false" ht="15" hidden="false" customHeight="false" outlineLevel="0" collapsed="false">
      <c r="A19" s="30" t="s">
        <v>167</v>
      </c>
      <c r="B19" s="25" t="n">
        <f aca="false">B18</f>
        <v>-10279</v>
      </c>
      <c r="C19" s="25" t="n">
        <f aca="false">B19+C18</f>
        <v>-5085.3108990228</v>
      </c>
      <c r="D19" s="25" t="n">
        <f aca="false">C19+D18</f>
        <v>-1393.31316395223</v>
      </c>
      <c r="E19" s="25" t="n">
        <f aca="false">D19+E18</f>
        <v>5512.91298588491</v>
      </c>
      <c r="F19" s="25" t="n">
        <f aca="false">E19+F18</f>
        <v>10797.4477698154</v>
      </c>
      <c r="G19" s="25" t="n">
        <f aca="false">F19+G18</f>
        <v>19296.2109685125</v>
      </c>
    </row>
    <row r="20" customFormat="false" ht="15" hidden="false" customHeight="false" outlineLevel="0" collapsed="false">
      <c r="A20" s="30" t="s">
        <v>168</v>
      </c>
      <c r="C20" s="33" t="str">
        <f aca="false">IF(AND(B19&lt;0,C19&gt;=0),0+ABS(B19)/C18,"")</f>
        <v/>
      </c>
      <c r="D20" s="33" t="str">
        <f aca="false">IF(AND(C19&lt;0,D19&gt;=0),1+ABS(C19)/D18,"")</f>
        <v/>
      </c>
      <c r="E20" s="33" t="n">
        <f aca="false">IF(AND(D19&lt;0,E19&gt;=0),2+ABS(D19)/E18,"")</f>
        <v>2.20174739919067</v>
      </c>
      <c r="F20" s="33" t="str">
        <f aca="false">IF(AND(E19&lt;0,F19&gt;=0),3+ABS(E19)/F18,"")</f>
        <v/>
      </c>
      <c r="G20" s="33" t="str">
        <f aca="false">IF(AND(F19&lt;0,G19&gt;=0),4+ABS(F19)/G18,"")</f>
        <v/>
      </c>
    </row>
    <row r="21" customFormat="false" ht="15" hidden="false" customHeight="false" outlineLevel="0" collapsed="false">
      <c r="A21" s="30" t="s">
        <v>169</v>
      </c>
      <c r="B21" s="25" t="n">
        <f aca="false">B18/(1+Tasa)^0</f>
        <v>-10279</v>
      </c>
      <c r="C21" s="25" t="n">
        <f aca="false">C18/(1+Tasa)^1</f>
        <v>4516.25139215409</v>
      </c>
      <c r="D21" s="25" t="n">
        <f aca="false">D18/(1+Tasa)^2</f>
        <v>2791.68070704769</v>
      </c>
      <c r="E21" s="25" t="n">
        <f aca="false">E18/(1+Tasa)^3</f>
        <v>4540.95579836419</v>
      </c>
      <c r="F21" s="25" t="n">
        <f aca="false">F18/(1+Tasa)^4</f>
        <v>3021.44991416155</v>
      </c>
      <c r="G21" s="25" t="n">
        <f aca="false">G18/(1+Tasa)^5</f>
        <v>4225.38734120146</v>
      </c>
    </row>
    <row r="22" customFormat="false" ht="15" hidden="false" customHeight="false" outlineLevel="0" collapsed="false">
      <c r="A22" s="30" t="s">
        <v>170</v>
      </c>
      <c r="B22" s="25" t="n">
        <f aca="false">B21</f>
        <v>-10279</v>
      </c>
      <c r="C22" s="25" t="n">
        <f aca="false">B22+C21</f>
        <v>-5762.74860784591</v>
      </c>
      <c r="D22" s="25" t="n">
        <f aca="false">C22+D21</f>
        <v>-2971.06790079822</v>
      </c>
      <c r="E22" s="25" t="n">
        <f aca="false">D22+E21</f>
        <v>1569.88789756597</v>
      </c>
      <c r="F22" s="25" t="n">
        <f aca="false">E22+F21</f>
        <v>4591.33781172752</v>
      </c>
      <c r="G22" s="25" t="n">
        <f aca="false">F22+G21</f>
        <v>8816.72515292898</v>
      </c>
    </row>
    <row r="23" customFormat="false" ht="15" hidden="false" customHeight="false" outlineLevel="0" collapsed="false">
      <c r="A23" s="30" t="s">
        <v>171</v>
      </c>
      <c r="C23" s="33" t="str">
        <f aca="false">IF(AND(B22&lt;0,C22&gt;=0),0+ABS(B22)/C21,"")</f>
        <v/>
      </c>
      <c r="D23" s="33" t="str">
        <f aca="false">IF(AND(C22&lt;0,D22&gt;=0),1+ABS(C22)/D21,"")</f>
        <v/>
      </c>
      <c r="E23" s="33" t="n">
        <f aca="false">IF(AND(D22&lt;0,E22&gt;=0),2+ABS(D22)/E21,"")</f>
        <v>2.65428249750163</v>
      </c>
      <c r="F23" s="33" t="str">
        <f aca="false">IF(AND(E22&lt;0,F22&gt;=0),3+ABS(E22)/F21,"")</f>
        <v/>
      </c>
      <c r="G23" s="33" t="str">
        <f aca="false">IF(AND(F22&lt;0,G22&gt;=0),4+ABS(F22)/G21,"")</f>
        <v/>
      </c>
    </row>
    <row r="25" customFormat="false" ht="15" hidden="false" customHeight="false" outlineLevel="0" collapsed="false">
      <c r="A25" s="27" t="s">
        <v>173</v>
      </c>
      <c r="B25" s="32" t="n">
        <f aca="false">-Inversion</f>
        <v>-10279</v>
      </c>
      <c r="C25" s="32" t="n">
        <f aca="false">C7-C8-2*C9</f>
        <v>4566.4662019544</v>
      </c>
      <c r="D25" s="32" t="n">
        <f aca="false">D7-D8-2*D9</f>
        <v>3125.53147014115</v>
      </c>
      <c r="E25" s="32" t="n">
        <f aca="false">E7-E8-2*E9</f>
        <v>6187.86829967427</v>
      </c>
      <c r="F25" s="32" t="n">
        <f aca="false">F7-F8-2*F9</f>
        <v>4626.93356786102</v>
      </c>
      <c r="G25" s="32" t="n">
        <f aca="false">G7-G8-2*G9</f>
        <v>7689.27039739414</v>
      </c>
    </row>
    <row r="26" customFormat="false" ht="15" hidden="false" customHeight="false" outlineLevel="0" collapsed="false">
      <c r="A26" s="30" t="s">
        <v>167</v>
      </c>
      <c r="B26" s="25" t="n">
        <f aca="false">B25</f>
        <v>-10279</v>
      </c>
      <c r="C26" s="25" t="n">
        <f aca="false">B26+C25</f>
        <v>-5712.5337980456</v>
      </c>
      <c r="D26" s="25" t="n">
        <f aca="false">C26+D25</f>
        <v>-2587.00232790445</v>
      </c>
      <c r="E26" s="25" t="n">
        <f aca="false">D26+E25</f>
        <v>3600.86597176982</v>
      </c>
      <c r="F26" s="25" t="n">
        <f aca="false">E26+F25</f>
        <v>8227.79953963084</v>
      </c>
      <c r="G26" s="25" t="n">
        <f aca="false">F26+G25</f>
        <v>15917.069937025</v>
      </c>
    </row>
    <row r="27" customFormat="false" ht="15" hidden="false" customHeight="false" outlineLevel="0" collapsed="false">
      <c r="A27" s="30" t="s">
        <v>168</v>
      </c>
      <c r="C27" s="33" t="str">
        <f aca="false">IF(AND(B26&lt;0,C26&gt;=0),0+ABS(B26)/C25,"")</f>
        <v/>
      </c>
      <c r="D27" s="33" t="str">
        <f aca="false">IF(AND(C26&lt;0,D26&gt;=0),1+ABS(C26)/D25,"")</f>
        <v/>
      </c>
      <c r="E27" s="33" t="n">
        <f aca="false">IF(AND(D26&lt;0,E26&gt;=0),2+ABS(D26)/E25,"")</f>
        <v>2.4180765010853</v>
      </c>
      <c r="F27" s="33" t="str">
        <f aca="false">IF(AND(E26&lt;0,F26&gt;=0),3+ABS(E26)/F25,"")</f>
        <v/>
      </c>
      <c r="G27" s="33" t="str">
        <f aca="false">IF(AND(F26&lt;0,G26&gt;=0),4+ABS(F26)/G25,"")</f>
        <v/>
      </c>
    </row>
    <row r="28" customFormat="false" ht="15" hidden="false" customHeight="false" outlineLevel="0" collapsed="false">
      <c r="A28" s="30" t="s">
        <v>169</v>
      </c>
      <c r="B28" s="25" t="n">
        <f aca="false">B25/(1+Tasa)^0</f>
        <v>-10279</v>
      </c>
      <c r="C28" s="25" t="n">
        <f aca="false">C25/(1+Tasa)^1</f>
        <v>3970.84017561252</v>
      </c>
      <c r="D28" s="25" t="n">
        <f aca="false">D25/(1+Tasa)^2</f>
        <v>2363.35082808405</v>
      </c>
      <c r="E28" s="25" t="n">
        <f aca="false">E25/(1+Tasa)^3</f>
        <v>4068.62385118716</v>
      </c>
      <c r="F28" s="25" t="n">
        <f aca="false">F25/(1+Tasa)^4</f>
        <v>2645.46428456789</v>
      </c>
      <c r="G28" s="25" t="n">
        <f aca="false">G25/(1+Tasa)^5</f>
        <v>3822.9263530022</v>
      </c>
    </row>
    <row r="29" customFormat="false" ht="15" hidden="false" customHeight="false" outlineLevel="0" collapsed="false">
      <c r="A29" s="30" t="s">
        <v>170</v>
      </c>
      <c r="B29" s="25" t="n">
        <f aca="false">B28</f>
        <v>-10279</v>
      </c>
      <c r="C29" s="25" t="n">
        <f aca="false">B29+C28</f>
        <v>-6308.15982438748</v>
      </c>
      <c r="D29" s="25" t="n">
        <f aca="false">C29+D28</f>
        <v>-3944.80899630343</v>
      </c>
      <c r="E29" s="25" t="n">
        <f aca="false">D29+E28</f>
        <v>123.814854883725</v>
      </c>
      <c r="F29" s="25" t="n">
        <f aca="false">E29+F28</f>
        <v>2769.27913945162</v>
      </c>
      <c r="G29" s="25" t="n">
        <f aca="false">F29+G28</f>
        <v>6592.20549245382</v>
      </c>
    </row>
    <row r="30" customFormat="false" ht="15" hidden="false" customHeight="false" outlineLevel="0" collapsed="false">
      <c r="A30" s="30" t="s">
        <v>171</v>
      </c>
      <c r="C30" s="33" t="str">
        <f aca="false">IF(AND(B29&lt;0,C29&gt;=0),0+ABS(B29)/C28,"")</f>
        <v/>
      </c>
      <c r="D30" s="33" t="str">
        <f aca="false">IF(AND(C29&lt;0,D29&gt;=0),1+ABS(C29)/D28,"")</f>
        <v/>
      </c>
      <c r="E30" s="33" t="n">
        <f aca="false">IF(AND(D29&lt;0,E29&gt;=0),2+ABS(D29)/E28,"")</f>
        <v>2.96956837018797</v>
      </c>
      <c r="F30" s="33" t="str">
        <f aca="false">IF(AND(E29&lt;0,F29&gt;=0),3+ABS(E29)/F28,"")</f>
        <v/>
      </c>
      <c r="G30" s="33" t="str">
        <f aca="false">IF(AND(F29&lt;0,G29&gt;=0),4+ABS(F29)/G28,"")</f>
        <v/>
      </c>
    </row>
    <row r="33" customFormat="false" ht="15" hidden="false" customHeight="false" outlineLevel="0" collapsed="false">
      <c r="A33" s="20" t="s">
        <v>159</v>
      </c>
    </row>
    <row r="34" customFormat="false" ht="15" hidden="false" customHeight="false" outlineLevel="0" collapsed="false">
      <c r="A34" s="7" t="s">
        <v>91</v>
      </c>
      <c r="B34" s="7" t="s">
        <v>163</v>
      </c>
      <c r="C34" s="7" t="s">
        <v>124</v>
      </c>
      <c r="D34" s="7" t="s">
        <v>125</v>
      </c>
      <c r="E34" s="7" t="s">
        <v>126</v>
      </c>
      <c r="F34" s="7" t="s">
        <v>127</v>
      </c>
      <c r="G34" s="7" t="s">
        <v>128</v>
      </c>
    </row>
    <row r="35" customFormat="false" ht="15" hidden="false" customHeight="false" outlineLevel="0" collapsed="false">
      <c r="A35" s="9" t="s">
        <v>144</v>
      </c>
      <c r="C35" s="17" t="n">
        <f aca="false">Demanda!B10</f>
        <v>7200</v>
      </c>
      <c r="D35" s="17" t="n">
        <f aca="false">Demanda!C10</f>
        <v>9360</v>
      </c>
      <c r="E35" s="17" t="n">
        <f aca="false">Demanda!D10</f>
        <v>7560</v>
      </c>
      <c r="F35" s="17" t="n">
        <f aca="false">Demanda!E10</f>
        <v>10440</v>
      </c>
      <c r="G35" s="17" t="n">
        <f aca="false">Demanda!F10</f>
        <v>9000</v>
      </c>
    </row>
    <row r="36" customFormat="false" ht="15" hidden="false" customHeight="false" outlineLevel="0" collapsed="false">
      <c r="A36" s="9" t="s">
        <v>164</v>
      </c>
      <c r="C36" s="25" t="n">
        <f aca="false">C35*Margen</f>
        <v>14424.48</v>
      </c>
      <c r="D36" s="25" t="n">
        <f aca="false">D35*Margen</f>
        <v>18751.824</v>
      </c>
      <c r="E36" s="25" t="n">
        <f aca="false">E35*Margen</f>
        <v>15145.704</v>
      </c>
      <c r="F36" s="25" t="n">
        <f aca="false">F35*Margen</f>
        <v>20915.496</v>
      </c>
      <c r="G36" s="25" t="n">
        <f aca="false">G35*Margen</f>
        <v>18030.6</v>
      </c>
    </row>
    <row r="37" customFormat="false" ht="15" hidden="false" customHeight="false" outlineLevel="0" collapsed="false">
      <c r="A37" s="9" t="s">
        <v>165</v>
      </c>
      <c r="C37" s="17" t="n">
        <f aca="false">'Costos fijos'!C11</f>
        <v>3555</v>
      </c>
      <c r="D37" s="17" t="n">
        <f aca="false">'Costos fijos'!D11</f>
        <v>3675</v>
      </c>
      <c r="E37" s="17" t="n">
        <f aca="false">'Costos fijos'!E11</f>
        <v>3915</v>
      </c>
      <c r="F37" s="17" t="n">
        <f aca="false">'Costos fijos'!F11</f>
        <v>4155</v>
      </c>
      <c r="G37" s="17" t="n">
        <f aca="false">'Costos fijos'!G11</f>
        <v>4395</v>
      </c>
    </row>
    <row r="38" customFormat="false" ht="15" hidden="false" customHeight="false" outlineLevel="0" collapsed="false">
      <c r="A38" s="9" t="s">
        <v>56</v>
      </c>
      <c r="C38" s="17" t="n">
        <f aca="false">Fundador!B28</f>
        <v>839.87111834962</v>
      </c>
      <c r="D38" s="17" t="n">
        <f aca="false">Fundador!C28</f>
        <v>1022.14102062975</v>
      </c>
      <c r="E38" s="17" t="n">
        <f aca="false">Fundador!D28</f>
        <v>870.249435396308</v>
      </c>
      <c r="F38" s="17" t="n">
        <f aca="false">Fundador!E28</f>
        <v>1113.27597176982</v>
      </c>
      <c r="G38" s="17" t="n">
        <f aca="false">Fundador!F28</f>
        <v>991.762703583062</v>
      </c>
    </row>
    <row r="40" customFormat="false" ht="15" hidden="false" customHeight="false" outlineLevel="0" collapsed="false">
      <c r="A40" s="27" t="s">
        <v>166</v>
      </c>
      <c r="B40" s="32" t="n">
        <f aca="false">-Inversion</f>
        <v>-10279</v>
      </c>
      <c r="C40" s="32" t="n">
        <f aca="false">C36-C37</f>
        <v>10869.48</v>
      </c>
      <c r="D40" s="32" t="n">
        <f aca="false">D36-D37</f>
        <v>15076.824</v>
      </c>
      <c r="E40" s="32" t="n">
        <f aca="false">E36-E37</f>
        <v>11230.704</v>
      </c>
      <c r="F40" s="32" t="n">
        <f aca="false">F36-F37</f>
        <v>16760.496</v>
      </c>
      <c r="G40" s="32" t="n">
        <f aca="false">G36-G37</f>
        <v>13635.6</v>
      </c>
    </row>
    <row r="41" customFormat="false" ht="15" hidden="false" customHeight="false" outlineLevel="0" collapsed="false">
      <c r="A41" s="30" t="s">
        <v>167</v>
      </c>
      <c r="B41" s="25" t="n">
        <f aca="false">B40</f>
        <v>-10279</v>
      </c>
      <c r="C41" s="25" t="n">
        <f aca="false">B41+C40</f>
        <v>590.480000000001</v>
      </c>
      <c r="D41" s="25" t="n">
        <f aca="false">C41+D40</f>
        <v>15667.304</v>
      </c>
      <c r="E41" s="25" t="n">
        <f aca="false">D41+E40</f>
        <v>26898.008</v>
      </c>
      <c r="F41" s="25" t="n">
        <f aca="false">E41+F40</f>
        <v>43658.504</v>
      </c>
      <c r="G41" s="25" t="n">
        <f aca="false">F41+G40</f>
        <v>57294.104</v>
      </c>
    </row>
    <row r="42" customFormat="false" ht="15" hidden="false" customHeight="false" outlineLevel="0" collapsed="false">
      <c r="A42" s="30" t="s">
        <v>168</v>
      </c>
      <c r="C42" s="33" t="n">
        <f aca="false">IF(AND(B41&lt;0,C41&gt;=0),0+ABS(B41)/C40,"")</f>
        <v>0.945675414095246</v>
      </c>
      <c r="D42" s="33" t="str">
        <f aca="false">IF(AND(C41&lt;0,D41&gt;=0),1+ABS(C41)/D40,"")</f>
        <v/>
      </c>
      <c r="E42" s="33" t="str">
        <f aca="false">IF(AND(D41&lt;0,E41&gt;=0),2+ABS(D41)/E40,"")</f>
        <v/>
      </c>
      <c r="F42" s="33" t="str">
        <f aca="false">IF(AND(E41&lt;0,F41&gt;=0),3+ABS(E41)/F40,"")</f>
        <v/>
      </c>
      <c r="G42" s="33" t="str">
        <f aca="false">IF(AND(F41&lt;0,G41&gt;=0),4+ABS(F41)/G40,"")</f>
        <v/>
      </c>
    </row>
    <row r="43" customFormat="false" ht="15" hidden="false" customHeight="false" outlineLevel="0" collapsed="false">
      <c r="A43" s="30" t="s">
        <v>169</v>
      </c>
      <c r="B43" s="25" t="n">
        <f aca="false">B40/(1+Tasa)^0</f>
        <v>-10279</v>
      </c>
      <c r="C43" s="25" t="n">
        <f aca="false">C40/(1+Tasa)^1</f>
        <v>9451.72173913044</v>
      </c>
      <c r="D43" s="25" t="n">
        <f aca="false">D40/(1+Tasa)^2</f>
        <v>11400.2449905482</v>
      </c>
      <c r="E43" s="25" t="n">
        <f aca="false">E40/(1+Tasa)^3</f>
        <v>7384.37018163886</v>
      </c>
      <c r="F43" s="25" t="n">
        <f aca="false">F40/(1+Tasa)^4</f>
        <v>9582.86798574905</v>
      </c>
      <c r="G43" s="25" t="n">
        <f aca="false">G40/(1+Tasa)^5</f>
        <v>6779.30309183336</v>
      </c>
    </row>
    <row r="44" customFormat="false" ht="15" hidden="false" customHeight="false" outlineLevel="0" collapsed="false">
      <c r="A44" s="30" t="s">
        <v>170</v>
      </c>
      <c r="B44" s="25" t="n">
        <f aca="false">B43</f>
        <v>-10279</v>
      </c>
      <c r="C44" s="25" t="n">
        <f aca="false">B44+C43</f>
        <v>-827.278260869563</v>
      </c>
      <c r="D44" s="25" t="n">
        <f aca="false">C44+D43</f>
        <v>10572.9667296786</v>
      </c>
      <c r="E44" s="25" t="n">
        <f aca="false">D44+E43</f>
        <v>17957.3369113175</v>
      </c>
      <c r="F44" s="25" t="n">
        <f aca="false">E44+F43</f>
        <v>27540.2048970666</v>
      </c>
      <c r="G44" s="25" t="n">
        <f aca="false">F44+G43</f>
        <v>34319.5079888999</v>
      </c>
    </row>
    <row r="45" customFormat="false" ht="15" hidden="false" customHeight="false" outlineLevel="0" collapsed="false">
      <c r="A45" s="30" t="s">
        <v>171</v>
      </c>
      <c r="C45" s="33" t="str">
        <f aca="false">IF(AND(B44&lt;0,C44&gt;=0),0+ABS(B44)/C43,"")</f>
        <v/>
      </c>
      <c r="D45" s="33" t="n">
        <f aca="false">IF(AND(C44&lt;0,D44&gt;=0),1+ABS(C44)/D43,"")</f>
        <v>1.0725667090098</v>
      </c>
      <c r="E45" s="33" t="str">
        <f aca="false">IF(AND(D44&lt;0,E44&gt;=0),2+ABS(D44)/E43,"")</f>
        <v/>
      </c>
      <c r="F45" s="33" t="str">
        <f aca="false">IF(AND(E44&lt;0,F44&gt;=0),3+ABS(E44)/F43,"")</f>
        <v/>
      </c>
      <c r="G45" s="33" t="str">
        <f aca="false">IF(AND(F44&lt;0,G44&gt;=0),4+ABS(F44)/G43,"")</f>
        <v/>
      </c>
    </row>
    <row r="47" customFormat="false" ht="15" hidden="false" customHeight="false" outlineLevel="0" collapsed="false">
      <c r="A47" s="27" t="s">
        <v>172</v>
      </c>
      <c r="B47" s="32" t="n">
        <f aca="false">-Inversion</f>
        <v>-10279</v>
      </c>
      <c r="C47" s="32" t="n">
        <f aca="false">C36-C37-1*C38</f>
        <v>10029.6088816504</v>
      </c>
      <c r="D47" s="32" t="n">
        <f aca="false">D36-D37-1*D38</f>
        <v>14054.6829793703</v>
      </c>
      <c r="E47" s="32" t="n">
        <f aca="false">E36-E37-1*E38</f>
        <v>10360.4545646037</v>
      </c>
      <c r="F47" s="32" t="n">
        <f aca="false">F36-F37-1*F38</f>
        <v>15647.2200282302</v>
      </c>
      <c r="G47" s="32" t="n">
        <f aca="false">G36-G37-1*G38</f>
        <v>12643.8372964169</v>
      </c>
    </row>
    <row r="48" customFormat="false" ht="15" hidden="false" customHeight="false" outlineLevel="0" collapsed="false">
      <c r="A48" s="30" t="s">
        <v>167</v>
      </c>
      <c r="B48" s="25" t="n">
        <f aca="false">B47</f>
        <v>-10279</v>
      </c>
      <c r="C48" s="25" t="n">
        <f aca="false">B48+C47</f>
        <v>-249.391118349618</v>
      </c>
      <c r="D48" s="25" t="n">
        <f aca="false">C48+D47</f>
        <v>13805.2918610206</v>
      </c>
      <c r="E48" s="25" t="n">
        <f aca="false">D48+E47</f>
        <v>24165.7464256243</v>
      </c>
      <c r="F48" s="25" t="n">
        <f aca="false">E48+F47</f>
        <v>39812.9664538545</v>
      </c>
      <c r="G48" s="25" t="n">
        <f aca="false">F48+G47</f>
        <v>52456.8037502715</v>
      </c>
    </row>
    <row r="49" customFormat="false" ht="15" hidden="false" customHeight="false" outlineLevel="0" collapsed="false">
      <c r="A49" s="30" t="s">
        <v>168</v>
      </c>
      <c r="C49" s="33" t="str">
        <f aca="false">IF(AND(B48&lt;0,C48&gt;=0),0+ABS(B48)/C47,"")</f>
        <v/>
      </c>
      <c r="D49" s="33" t="n">
        <f aca="false">IF(AND(C48&lt;0,D48&gt;=0),1+ABS(C48)/D47,"")</f>
        <v>1.01774434319975</v>
      </c>
      <c r="E49" s="33" t="str">
        <f aca="false">IF(AND(D48&lt;0,E48&gt;=0),2+ABS(D48)/E47,"")</f>
        <v/>
      </c>
      <c r="F49" s="33" t="str">
        <f aca="false">IF(AND(E48&lt;0,F48&gt;=0),3+ABS(E48)/F47,"")</f>
        <v/>
      </c>
      <c r="G49" s="33" t="str">
        <f aca="false">IF(AND(F48&lt;0,G48&gt;=0),4+ABS(F48)/G47,"")</f>
        <v/>
      </c>
    </row>
    <row r="50" customFormat="false" ht="15" hidden="false" customHeight="false" outlineLevel="0" collapsed="false">
      <c r="A50" s="30" t="s">
        <v>169</v>
      </c>
      <c r="B50" s="25" t="n">
        <f aca="false">B47/(1+Tasa)^0</f>
        <v>-10279</v>
      </c>
      <c r="C50" s="25" t="n">
        <f aca="false">C47/(1+Tasa)^1</f>
        <v>8721.39902752207</v>
      </c>
      <c r="D50" s="25" t="n">
        <f aca="false">D47/(1+Tasa)^2</f>
        <v>10627.3595307147</v>
      </c>
      <c r="E50" s="25" t="n">
        <f aca="false">E47/(1+Tasa)^3</f>
        <v>6812.16705160101</v>
      </c>
      <c r="F50" s="25" t="n">
        <f aca="false">F47/(1+Tasa)^4</f>
        <v>8946.34883564892</v>
      </c>
      <c r="G50" s="25" t="n">
        <f aca="false">G47/(1+Tasa)^5</f>
        <v>6286.22174867533</v>
      </c>
    </row>
    <row r="51" customFormat="false" ht="15" hidden="false" customHeight="false" outlineLevel="0" collapsed="false">
      <c r="A51" s="30" t="s">
        <v>170</v>
      </c>
      <c r="B51" s="25" t="n">
        <f aca="false">B50</f>
        <v>-10279</v>
      </c>
      <c r="C51" s="25" t="n">
        <f aca="false">B51+C50</f>
        <v>-1557.60097247793</v>
      </c>
      <c r="D51" s="25" t="n">
        <f aca="false">C51+D50</f>
        <v>9069.75855823682</v>
      </c>
      <c r="E51" s="25" t="n">
        <f aca="false">D51+E50</f>
        <v>15881.9256098378</v>
      </c>
      <c r="F51" s="25" t="n">
        <f aca="false">E51+F50</f>
        <v>24828.2744454868</v>
      </c>
      <c r="G51" s="25" t="n">
        <f aca="false">F51+G50</f>
        <v>31114.4961941621</v>
      </c>
    </row>
    <row r="52" customFormat="false" ht="15" hidden="false" customHeight="false" outlineLevel="0" collapsed="false">
      <c r="A52" s="30" t="s">
        <v>171</v>
      </c>
      <c r="C52" s="33" t="str">
        <f aca="false">IF(AND(B51&lt;0,C51&gt;=0),0+ABS(B51)/C50,"")</f>
        <v/>
      </c>
      <c r="D52" s="33" t="n">
        <f aca="false">IF(AND(C51&lt;0,D51&gt;=0),1+ABS(C51)/D50,"")</f>
        <v>1.14656519034443</v>
      </c>
      <c r="E52" s="33" t="str">
        <f aca="false">IF(AND(D51&lt;0,E51&gt;=0),2+ABS(D51)/E50,"")</f>
        <v/>
      </c>
      <c r="F52" s="33" t="str">
        <f aca="false">IF(AND(E51&lt;0,F51&gt;=0),3+ABS(E51)/F50,"")</f>
        <v/>
      </c>
      <c r="G52" s="33" t="str">
        <f aca="false">IF(AND(F51&lt;0,G51&gt;=0),4+ABS(F51)/G50,"")</f>
        <v/>
      </c>
    </row>
    <row r="54" customFormat="false" ht="15" hidden="false" customHeight="false" outlineLevel="0" collapsed="false">
      <c r="A54" s="27" t="s">
        <v>173</v>
      </c>
      <c r="B54" s="32" t="n">
        <f aca="false">-Inversion</f>
        <v>-10279</v>
      </c>
      <c r="C54" s="32" t="n">
        <f aca="false">C36-C37-2*C38</f>
        <v>9189.73776330076</v>
      </c>
      <c r="D54" s="32" t="n">
        <f aca="false">D36-D37-2*D38</f>
        <v>13032.5419587405</v>
      </c>
      <c r="E54" s="32" t="n">
        <f aca="false">E36-E37-2*E38</f>
        <v>9490.20512920738</v>
      </c>
      <c r="F54" s="32" t="n">
        <f aca="false">F36-F37-2*F38</f>
        <v>14533.9440564604</v>
      </c>
      <c r="G54" s="32" t="n">
        <f aca="false">G36-G37-2*G38</f>
        <v>11652.0745928339</v>
      </c>
    </row>
    <row r="55" customFormat="false" ht="15" hidden="false" customHeight="false" outlineLevel="0" collapsed="false">
      <c r="A55" s="30" t="s">
        <v>167</v>
      </c>
      <c r="B55" s="25" t="n">
        <f aca="false">B54</f>
        <v>-10279</v>
      </c>
      <c r="C55" s="25" t="n">
        <f aca="false">B55+C54</f>
        <v>-1089.26223669924</v>
      </c>
      <c r="D55" s="25" t="n">
        <f aca="false">C55+D54</f>
        <v>11943.2797220413</v>
      </c>
      <c r="E55" s="25" t="n">
        <f aca="false">D55+E54</f>
        <v>21433.4848512486</v>
      </c>
      <c r="F55" s="25" t="n">
        <f aca="false">E55+F54</f>
        <v>35967.428907709</v>
      </c>
      <c r="G55" s="25" t="n">
        <f aca="false">F55+G54</f>
        <v>47619.5035005429</v>
      </c>
    </row>
    <row r="56" customFormat="false" ht="15" hidden="false" customHeight="false" outlineLevel="0" collapsed="false">
      <c r="A56" s="30" t="s">
        <v>168</v>
      </c>
      <c r="C56" s="33" t="str">
        <f aca="false">IF(AND(B55&lt;0,C55&gt;=0),0+ABS(B55)/C54,"")</f>
        <v/>
      </c>
      <c r="D56" s="33" t="n">
        <f aca="false">IF(AND(C55&lt;0,D55&gt;=0),1+ABS(C55)/D54,"")</f>
        <v>1.08358018260349</v>
      </c>
      <c r="E56" s="33" t="str">
        <f aca="false">IF(AND(D55&lt;0,E55&gt;=0),2+ABS(D55)/E54,"")</f>
        <v/>
      </c>
      <c r="F56" s="33" t="str">
        <f aca="false">IF(AND(E55&lt;0,F55&gt;=0),3+ABS(E55)/F54,"")</f>
        <v/>
      </c>
      <c r="G56" s="33" t="str">
        <f aca="false">IF(AND(F55&lt;0,G55&gt;=0),4+ABS(F55)/G54,"")</f>
        <v/>
      </c>
    </row>
    <row r="57" customFormat="false" ht="15" hidden="false" customHeight="false" outlineLevel="0" collapsed="false">
      <c r="A57" s="30" t="s">
        <v>169</v>
      </c>
      <c r="B57" s="25" t="n">
        <f aca="false">B54/(1+Tasa)^0</f>
        <v>-10279</v>
      </c>
      <c r="C57" s="25" t="n">
        <f aca="false">C54/(1+Tasa)^1</f>
        <v>7991.07631591371</v>
      </c>
      <c r="D57" s="25" t="n">
        <f aca="false">D54/(1+Tasa)^2</f>
        <v>9854.47407088129</v>
      </c>
      <c r="E57" s="25" t="n">
        <f aca="false">E54/(1+Tasa)^3</f>
        <v>6239.96392156317</v>
      </c>
      <c r="F57" s="25" t="n">
        <f aca="false">F54/(1+Tasa)^4</f>
        <v>8309.82968554879</v>
      </c>
      <c r="G57" s="25" t="n">
        <f aca="false">G54/(1+Tasa)^5</f>
        <v>5793.1404055173</v>
      </c>
    </row>
    <row r="58" customFormat="false" ht="15" hidden="false" customHeight="false" outlineLevel="0" collapsed="false">
      <c r="A58" s="30" t="s">
        <v>170</v>
      </c>
      <c r="B58" s="25" t="n">
        <f aca="false">B57</f>
        <v>-10279</v>
      </c>
      <c r="C58" s="25" t="n">
        <f aca="false">B58+C57</f>
        <v>-2287.92368408629</v>
      </c>
      <c r="D58" s="25" t="n">
        <f aca="false">C58+D57</f>
        <v>7566.550386795</v>
      </c>
      <c r="E58" s="25" t="n">
        <f aca="false">D58+E57</f>
        <v>13806.5143083582</v>
      </c>
      <c r="F58" s="25" t="n">
        <f aca="false">E58+F57</f>
        <v>22116.343993907</v>
      </c>
      <c r="G58" s="25" t="n">
        <f aca="false">F58+G57</f>
        <v>27909.4843994243</v>
      </c>
    </row>
    <row r="59" customFormat="false" ht="15" hidden="false" customHeight="false" outlineLevel="0" collapsed="false">
      <c r="A59" s="30" t="s">
        <v>171</v>
      </c>
      <c r="C59" s="33" t="str">
        <f aca="false">IF(AND(B58&lt;0,C58&gt;=0),0+ABS(B58)/C57,"")</f>
        <v/>
      </c>
      <c r="D59" s="33" t="n">
        <f aca="false">IF(AND(C58&lt;0,D58&gt;=0),1+ABS(C58)/D57,"")</f>
        <v>1.23217105932084</v>
      </c>
      <c r="E59" s="33" t="str">
        <f aca="false">IF(AND(D58&lt;0,E58&gt;=0),2+ABS(D58)/E57,"")</f>
        <v/>
      </c>
      <c r="F59" s="33" t="str">
        <f aca="false">IF(AND(E58&lt;0,F58&gt;=0),3+ABS(E58)/F57,"")</f>
        <v/>
      </c>
      <c r="G59" s="33" t="str">
        <f aca="false">IF(AND(F58&lt;0,G58&gt;=0),4+ABS(F58)/G57,"")</f>
        <v/>
      </c>
    </row>
    <row r="62" customFormat="false" ht="15" hidden="false" customHeight="false" outlineLevel="0" collapsed="false">
      <c r="A62" s="20" t="s">
        <v>160</v>
      </c>
    </row>
    <row r="63" customFormat="false" ht="15" hidden="false" customHeight="false" outlineLevel="0" collapsed="false">
      <c r="A63" s="7" t="s">
        <v>91</v>
      </c>
      <c r="B63" s="7" t="s">
        <v>163</v>
      </c>
      <c r="C63" s="7" t="s">
        <v>124</v>
      </c>
      <c r="D63" s="7" t="s">
        <v>125</v>
      </c>
      <c r="E63" s="7" t="s">
        <v>126</v>
      </c>
      <c r="F63" s="7" t="s">
        <v>127</v>
      </c>
      <c r="G63" s="7" t="s">
        <v>128</v>
      </c>
    </row>
    <row r="64" customFormat="false" ht="15" hidden="false" customHeight="false" outlineLevel="0" collapsed="false">
      <c r="A64" s="9" t="s">
        <v>144</v>
      </c>
      <c r="C64" s="17" t="n">
        <f aca="false">Demanda!B11</f>
        <v>10080</v>
      </c>
      <c r="D64" s="17" t="n">
        <f aca="false">Demanda!C11</f>
        <v>15120</v>
      </c>
      <c r="E64" s="17" t="n">
        <f aca="false">Demanda!D11</f>
        <v>12240</v>
      </c>
      <c r="F64" s="17" t="n">
        <f aca="false">Demanda!E11</f>
        <v>17280</v>
      </c>
      <c r="G64" s="17" t="n">
        <f aca="false">Demanda!F11</f>
        <v>14400</v>
      </c>
    </row>
    <row r="65" customFormat="false" ht="15" hidden="false" customHeight="false" outlineLevel="0" collapsed="false">
      <c r="A65" s="9" t="s">
        <v>164</v>
      </c>
      <c r="C65" s="25" t="n">
        <f aca="false">C64*Margen</f>
        <v>20194.272</v>
      </c>
      <c r="D65" s="25" t="n">
        <f aca="false">D64*Margen</f>
        <v>30291.408</v>
      </c>
      <c r="E65" s="25" t="n">
        <f aca="false">E64*Margen</f>
        <v>24521.616</v>
      </c>
      <c r="F65" s="25" t="n">
        <f aca="false">F64*Margen</f>
        <v>34618.752</v>
      </c>
      <c r="G65" s="25" t="n">
        <f aca="false">G64*Margen</f>
        <v>28848.96</v>
      </c>
    </row>
    <row r="66" customFormat="false" ht="15" hidden="false" customHeight="false" outlineLevel="0" collapsed="false">
      <c r="A66" s="9" t="s">
        <v>165</v>
      </c>
      <c r="C66" s="17" t="n">
        <f aca="false">'Costos fijos'!C11</f>
        <v>3555</v>
      </c>
      <c r="D66" s="17" t="n">
        <f aca="false">'Costos fijos'!D11</f>
        <v>3675</v>
      </c>
      <c r="E66" s="17" t="n">
        <f aca="false">'Costos fijos'!E11</f>
        <v>3915</v>
      </c>
      <c r="F66" s="17" t="n">
        <f aca="false">'Costos fijos'!F11</f>
        <v>4155</v>
      </c>
      <c r="G66" s="17" t="n">
        <f aca="false">'Costos fijos'!G11</f>
        <v>4395</v>
      </c>
    </row>
    <row r="67" customFormat="false" ht="15" hidden="false" customHeight="false" outlineLevel="0" collapsed="false">
      <c r="A67" s="9" t="s">
        <v>56</v>
      </c>
      <c r="C67" s="17" t="n">
        <f aca="false">Fundador!B41</f>
        <v>1082.89765472313</v>
      </c>
      <c r="D67" s="17" t="n">
        <f aca="false">Fundador!C41</f>
        <v>1508.19409337676</v>
      </c>
      <c r="E67" s="17" t="n">
        <f aca="false">Fundador!D41</f>
        <v>1265.16755700326</v>
      </c>
      <c r="F67" s="17" t="n">
        <f aca="false">Fundador!E41</f>
        <v>1690.46399565689</v>
      </c>
      <c r="G67" s="17" t="n">
        <f aca="false">Fundador!F41</f>
        <v>1447.43745928339</v>
      </c>
    </row>
    <row r="69" customFormat="false" ht="15" hidden="false" customHeight="false" outlineLevel="0" collapsed="false">
      <c r="A69" s="27" t="s">
        <v>166</v>
      </c>
      <c r="B69" s="32" t="n">
        <f aca="false">-Inversion</f>
        <v>-10279</v>
      </c>
      <c r="C69" s="32" t="n">
        <f aca="false">C65-C66</f>
        <v>16639.272</v>
      </c>
      <c r="D69" s="32" t="n">
        <f aca="false">D65-D66</f>
        <v>26616.408</v>
      </c>
      <c r="E69" s="32" t="n">
        <f aca="false">E65-E66</f>
        <v>20606.616</v>
      </c>
      <c r="F69" s="32" t="n">
        <f aca="false">F65-F66</f>
        <v>30463.752</v>
      </c>
      <c r="G69" s="32" t="n">
        <f aca="false">G65-G66</f>
        <v>24453.96</v>
      </c>
    </row>
    <row r="70" customFormat="false" ht="15" hidden="false" customHeight="false" outlineLevel="0" collapsed="false">
      <c r="A70" s="30" t="s">
        <v>167</v>
      </c>
      <c r="B70" s="25" t="n">
        <f aca="false">B69</f>
        <v>-10279</v>
      </c>
      <c r="C70" s="25" t="n">
        <f aca="false">B70+C69</f>
        <v>6360.272</v>
      </c>
      <c r="D70" s="25" t="n">
        <f aca="false">C70+D69</f>
        <v>32976.68</v>
      </c>
      <c r="E70" s="25" t="n">
        <f aca="false">D70+E69</f>
        <v>53583.296</v>
      </c>
      <c r="F70" s="25" t="n">
        <f aca="false">E70+F69</f>
        <v>84047.048</v>
      </c>
      <c r="G70" s="25" t="n">
        <f aca="false">F70+G69</f>
        <v>108501.008</v>
      </c>
    </row>
    <row r="71" customFormat="false" ht="15" hidden="false" customHeight="false" outlineLevel="0" collapsed="false">
      <c r="A71" s="30" t="s">
        <v>168</v>
      </c>
      <c r="C71" s="33" t="n">
        <f aca="false">IF(AND(B70&lt;0,C70&gt;=0),0+ABS(B70)/C69,"")</f>
        <v>0.617755392183023</v>
      </c>
      <c r="D71" s="33" t="str">
        <f aca="false">IF(AND(C70&lt;0,D70&gt;=0),1+ABS(C70)/D69,"")</f>
        <v/>
      </c>
      <c r="E71" s="33" t="str">
        <f aca="false">IF(AND(D70&lt;0,E70&gt;=0),2+ABS(D70)/E69,"")</f>
        <v/>
      </c>
      <c r="F71" s="33" t="str">
        <f aca="false">IF(AND(E70&lt;0,F70&gt;=0),3+ABS(E70)/F69,"")</f>
        <v/>
      </c>
      <c r="G71" s="33" t="str">
        <f aca="false">IF(AND(F70&lt;0,G70&gt;=0),4+ABS(F70)/G69,"")</f>
        <v/>
      </c>
    </row>
    <row r="72" customFormat="false" ht="15" hidden="false" customHeight="false" outlineLevel="0" collapsed="false">
      <c r="A72" s="30" t="s">
        <v>169</v>
      </c>
      <c r="B72" s="25" t="n">
        <f aca="false">B69/(1+Tasa)^0</f>
        <v>-10279</v>
      </c>
      <c r="C72" s="25" t="n">
        <f aca="false">C69/(1+Tasa)^1</f>
        <v>14468.932173913</v>
      </c>
      <c r="D72" s="25" t="n">
        <f aca="false">D69/(1+Tasa)^2</f>
        <v>20125.8283553875</v>
      </c>
      <c r="E72" s="25" t="n">
        <f aca="false">E69/(1+Tasa)^3</f>
        <v>13549.1845154927</v>
      </c>
      <c r="F72" s="25" t="n">
        <f aca="false">F69/(1+Tasa)^4</f>
        <v>17417.7490789413</v>
      </c>
      <c r="G72" s="25" t="n">
        <f aca="false">G69/(1+Tasa)^5</f>
        <v>12157.939997915</v>
      </c>
    </row>
    <row r="73" customFormat="false" ht="15" hidden="false" customHeight="false" outlineLevel="0" collapsed="false">
      <c r="A73" s="30" t="s">
        <v>170</v>
      </c>
      <c r="B73" s="25" t="n">
        <f aca="false">B72</f>
        <v>-10279</v>
      </c>
      <c r="C73" s="25" t="n">
        <f aca="false">B73+C72</f>
        <v>4189.93217391305</v>
      </c>
      <c r="D73" s="25" t="n">
        <f aca="false">C73+D72</f>
        <v>24315.7605293006</v>
      </c>
      <c r="E73" s="25" t="n">
        <f aca="false">D73+E72</f>
        <v>37864.9450447933</v>
      </c>
      <c r="F73" s="25" t="n">
        <f aca="false">E73+F72</f>
        <v>55282.6941237346</v>
      </c>
      <c r="G73" s="25" t="n">
        <f aca="false">F73+G72</f>
        <v>67440.6341216495</v>
      </c>
    </row>
    <row r="74" customFormat="false" ht="15" hidden="false" customHeight="false" outlineLevel="0" collapsed="false">
      <c r="A74" s="30" t="s">
        <v>171</v>
      </c>
      <c r="C74" s="33" t="n">
        <f aca="false">IF(AND(B73&lt;0,C73&gt;=0),0+ABS(B73)/C72,"")</f>
        <v>0.710418701010477</v>
      </c>
      <c r="D74" s="33" t="str">
        <f aca="false">IF(AND(C73&lt;0,D73&gt;=0),1+ABS(C73)/D72,"")</f>
        <v/>
      </c>
      <c r="E74" s="33" t="str">
        <f aca="false">IF(AND(D73&lt;0,E73&gt;=0),2+ABS(D73)/E72,"")</f>
        <v/>
      </c>
      <c r="F74" s="33" t="str">
        <f aca="false">IF(AND(E73&lt;0,F73&gt;=0),3+ABS(E73)/F72,"")</f>
        <v/>
      </c>
      <c r="G74" s="33" t="str">
        <f aca="false">IF(AND(F73&lt;0,G73&gt;=0),4+ABS(F73)/G72,"")</f>
        <v/>
      </c>
    </row>
    <row r="76" customFormat="false" ht="15" hidden="false" customHeight="false" outlineLevel="0" collapsed="false">
      <c r="A76" s="27" t="s">
        <v>172</v>
      </c>
      <c r="B76" s="32" t="n">
        <f aca="false">-Inversion</f>
        <v>-10279</v>
      </c>
      <c r="C76" s="32" t="n">
        <f aca="false">C65-C66-1*C67</f>
        <v>15556.3743452769</v>
      </c>
      <c r="D76" s="32" t="n">
        <f aca="false">D65-D66-1*D67</f>
        <v>25108.2139066232</v>
      </c>
      <c r="E76" s="32" t="n">
        <f aca="false">E65-E66-1*E67</f>
        <v>19341.4484429967</v>
      </c>
      <c r="F76" s="32" t="n">
        <f aca="false">F65-F66-1*F67</f>
        <v>28773.2880043431</v>
      </c>
      <c r="G76" s="32" t="n">
        <f aca="false">G65-G66-1*G67</f>
        <v>23006.5225407166</v>
      </c>
    </row>
    <row r="77" customFormat="false" ht="15" hidden="false" customHeight="false" outlineLevel="0" collapsed="false">
      <c r="A77" s="30" t="s">
        <v>167</v>
      </c>
      <c r="B77" s="25" t="n">
        <f aca="false">B76</f>
        <v>-10279</v>
      </c>
      <c r="C77" s="25" t="n">
        <f aca="false">B77+C76</f>
        <v>5277.37434527687</v>
      </c>
      <c r="D77" s="25" t="n">
        <f aca="false">C77+D76</f>
        <v>30385.5882519001</v>
      </c>
      <c r="E77" s="25" t="n">
        <f aca="false">D77+E76</f>
        <v>49727.0366948969</v>
      </c>
      <c r="F77" s="25" t="n">
        <f aca="false">E77+F76</f>
        <v>78500.32469924</v>
      </c>
      <c r="G77" s="25" t="n">
        <f aca="false">F77+G76</f>
        <v>101506.847239957</v>
      </c>
    </row>
    <row r="78" customFormat="false" ht="15" hidden="false" customHeight="false" outlineLevel="0" collapsed="false">
      <c r="A78" s="30" t="s">
        <v>168</v>
      </c>
      <c r="C78" s="33" t="n">
        <f aca="false">IF(AND(B77&lt;0,C77&gt;=0),0+ABS(B77)/C76,"")</f>
        <v>0.660758077162166</v>
      </c>
      <c r="D78" s="33" t="str">
        <f aca="false">IF(AND(C77&lt;0,D77&gt;=0),1+ABS(C77)/D76,"")</f>
        <v/>
      </c>
      <c r="E78" s="33" t="str">
        <f aca="false">IF(AND(D77&lt;0,E77&gt;=0),2+ABS(D77)/E76,"")</f>
        <v/>
      </c>
      <c r="F78" s="33" t="str">
        <f aca="false">IF(AND(E77&lt;0,F77&gt;=0),3+ABS(E77)/F76,"")</f>
        <v/>
      </c>
      <c r="G78" s="33" t="str">
        <f aca="false">IF(AND(F77&lt;0,G77&gt;=0),4+ABS(F77)/G76,"")</f>
        <v/>
      </c>
    </row>
    <row r="79" customFormat="false" ht="15" hidden="false" customHeight="false" outlineLevel="0" collapsed="false">
      <c r="A79" s="30" t="s">
        <v>169</v>
      </c>
      <c r="B79" s="25" t="n">
        <f aca="false">B76/(1+Tasa)^0</f>
        <v>-10279</v>
      </c>
      <c r="C79" s="25" t="n">
        <f aca="false">C76/(1+Tasa)^1</f>
        <v>13527.2820393712</v>
      </c>
      <c r="D79" s="25" t="n">
        <f aca="false">D76/(1+Tasa)^2</f>
        <v>18985.4169426263</v>
      </c>
      <c r="E79" s="25" t="n">
        <f aca="false">E76/(1+Tasa)^3</f>
        <v>12717.3163100168</v>
      </c>
      <c r="F79" s="25" t="n">
        <f aca="false">F76/(1+Tasa)^4</f>
        <v>16451.2208028663</v>
      </c>
      <c r="G79" s="25" t="n">
        <f aca="false">G76/(1+Tasa)^5</f>
        <v>11438.30776736</v>
      </c>
    </row>
    <row r="80" customFormat="false" ht="15" hidden="false" customHeight="false" outlineLevel="0" collapsed="false">
      <c r="A80" s="30" t="s">
        <v>170</v>
      </c>
      <c r="B80" s="25" t="n">
        <f aca="false">B79</f>
        <v>-10279</v>
      </c>
      <c r="C80" s="25" t="n">
        <f aca="false">B80+C79</f>
        <v>3248.2820393712</v>
      </c>
      <c r="D80" s="25" t="n">
        <f aca="false">C80+D79</f>
        <v>22233.6989819975</v>
      </c>
      <c r="E80" s="25" t="n">
        <f aca="false">D80+E79</f>
        <v>34951.0152920142</v>
      </c>
      <c r="F80" s="25" t="n">
        <f aca="false">E80+F79</f>
        <v>51402.2360948805</v>
      </c>
      <c r="G80" s="25" t="n">
        <f aca="false">F80+G79</f>
        <v>62840.5438622405</v>
      </c>
    </row>
    <row r="81" customFormat="false" ht="15" hidden="false" customHeight="false" outlineLevel="0" collapsed="false">
      <c r="A81" s="30" t="s">
        <v>171</v>
      </c>
      <c r="C81" s="33" t="n">
        <f aca="false">IF(AND(B80&lt;0,C80&gt;=0),0+ABS(B80)/C79,"")</f>
        <v>0.759871788736491</v>
      </c>
      <c r="D81" s="33" t="str">
        <f aca="false">IF(AND(C80&lt;0,D80&gt;=0),1+ABS(C80)/D79,"")</f>
        <v/>
      </c>
      <c r="E81" s="33" t="str">
        <f aca="false">IF(AND(D80&lt;0,E80&gt;=0),2+ABS(D80)/E79,"")</f>
        <v/>
      </c>
      <c r="F81" s="33" t="str">
        <f aca="false">IF(AND(E80&lt;0,F80&gt;=0),3+ABS(E80)/F79,"")</f>
        <v/>
      </c>
      <c r="G81" s="33" t="str">
        <f aca="false">IF(AND(F80&lt;0,G80&gt;=0),4+ABS(F80)/G79,"")</f>
        <v/>
      </c>
    </row>
    <row r="83" customFormat="false" ht="15" hidden="false" customHeight="false" outlineLevel="0" collapsed="false">
      <c r="A83" s="27" t="s">
        <v>173</v>
      </c>
      <c r="B83" s="32" t="n">
        <f aca="false">-Inversion</f>
        <v>-10279</v>
      </c>
      <c r="C83" s="32" t="n">
        <f aca="false">C65-C66-2*C67</f>
        <v>14473.4766905537</v>
      </c>
      <c r="D83" s="32" t="n">
        <f aca="false">D65-D66-2*D67</f>
        <v>23600.0198132465</v>
      </c>
      <c r="E83" s="32" t="n">
        <f aca="false">E65-E66-2*E67</f>
        <v>18076.2808859935</v>
      </c>
      <c r="F83" s="32" t="n">
        <f aca="false">F65-F66-2*F67</f>
        <v>27082.8240086862</v>
      </c>
      <c r="G83" s="32" t="n">
        <f aca="false">G65-G66-2*G67</f>
        <v>21559.0850814332</v>
      </c>
    </row>
    <row r="84" customFormat="false" ht="15" hidden="false" customHeight="false" outlineLevel="0" collapsed="false">
      <c r="A84" s="30" t="s">
        <v>167</v>
      </c>
      <c r="B84" s="25" t="n">
        <f aca="false">B83</f>
        <v>-10279</v>
      </c>
      <c r="C84" s="25" t="n">
        <f aca="false">B84+C83</f>
        <v>4194.47669055375</v>
      </c>
      <c r="D84" s="25" t="n">
        <f aca="false">C84+D83</f>
        <v>27794.4965038002</v>
      </c>
      <c r="E84" s="25" t="n">
        <f aca="false">D84+E83</f>
        <v>45870.7773897937</v>
      </c>
      <c r="F84" s="25" t="n">
        <f aca="false">E84+F83</f>
        <v>72953.6013984799</v>
      </c>
      <c r="G84" s="25" t="n">
        <f aca="false">F84+G83</f>
        <v>94512.6864799132</v>
      </c>
    </row>
    <row r="85" customFormat="false" ht="15" hidden="false" customHeight="false" outlineLevel="0" collapsed="false">
      <c r="A85" s="30" t="s">
        <v>168</v>
      </c>
      <c r="C85" s="33" t="n">
        <f aca="false">IF(AND(B84&lt;0,C84&gt;=0),0+ABS(B84)/C83,"")</f>
        <v>0.710195637148377</v>
      </c>
      <c r="D85" s="33" t="str">
        <f aca="false">IF(AND(C84&lt;0,D84&gt;=0),1+ABS(C84)/D83,"")</f>
        <v/>
      </c>
      <c r="E85" s="33" t="str">
        <f aca="false">IF(AND(D84&lt;0,E84&gt;=0),2+ABS(D84)/E83,"")</f>
        <v/>
      </c>
      <c r="F85" s="33" t="str">
        <f aca="false">IF(AND(E84&lt;0,F84&gt;=0),3+ABS(E84)/F83,"")</f>
        <v/>
      </c>
      <c r="G85" s="33" t="str">
        <f aca="false">IF(AND(F84&lt;0,G84&gt;=0),4+ABS(F84)/G83,"")</f>
        <v/>
      </c>
    </row>
    <row r="86" customFormat="false" ht="15" hidden="false" customHeight="false" outlineLevel="0" collapsed="false">
      <c r="A86" s="30" t="s">
        <v>169</v>
      </c>
      <c r="B86" s="25" t="n">
        <f aca="false">B83/(1+Tasa)^0</f>
        <v>-10279</v>
      </c>
      <c r="C86" s="25" t="n">
        <f aca="false">C83/(1+Tasa)^1</f>
        <v>12585.6319048293</v>
      </c>
      <c r="D86" s="25" t="n">
        <f aca="false">D83/(1+Tasa)^2</f>
        <v>17845.005529865</v>
      </c>
      <c r="E86" s="25" t="n">
        <f aca="false">E83/(1+Tasa)^3</f>
        <v>11885.4481045408</v>
      </c>
      <c r="F86" s="25" t="n">
        <f aca="false">F83/(1+Tasa)^4</f>
        <v>15484.6925267913</v>
      </c>
      <c r="G86" s="25" t="n">
        <f aca="false">G83/(1+Tasa)^5</f>
        <v>10718.675536805</v>
      </c>
    </row>
    <row r="87" customFormat="false" ht="15" hidden="false" customHeight="false" outlineLevel="0" collapsed="false">
      <c r="A87" s="30" t="s">
        <v>170</v>
      </c>
      <c r="B87" s="25" t="n">
        <f aca="false">B86</f>
        <v>-10279</v>
      </c>
      <c r="C87" s="25" t="n">
        <f aca="false">B87+C86</f>
        <v>2306.63190482935</v>
      </c>
      <c r="D87" s="25" t="n">
        <f aca="false">C87+D86</f>
        <v>20151.6374346944</v>
      </c>
      <c r="E87" s="25" t="n">
        <f aca="false">D87+E86</f>
        <v>32037.0855392352</v>
      </c>
      <c r="F87" s="25" t="n">
        <f aca="false">E87+F86</f>
        <v>47521.7780660264</v>
      </c>
      <c r="G87" s="25" t="n">
        <f aca="false">F87+G86</f>
        <v>58240.4536028315</v>
      </c>
    </row>
    <row r="88" customFormat="false" ht="15" hidden="false" customHeight="false" outlineLevel="0" collapsed="false">
      <c r="A88" s="30" t="s">
        <v>171</v>
      </c>
      <c r="C88" s="33" t="n">
        <f aca="false">IF(AND(B87&lt;0,C87&gt;=0),0+ABS(B87)/C86,"")</f>
        <v>0.816724982720633</v>
      </c>
      <c r="D88" s="33" t="str">
        <f aca="false">IF(AND(C87&lt;0,D87&gt;=0),1+ABS(C87)/D86,"")</f>
        <v/>
      </c>
      <c r="E88" s="33" t="str">
        <f aca="false">IF(AND(D87&lt;0,E87&gt;=0),2+ABS(D87)/E86,"")</f>
        <v/>
      </c>
      <c r="F88" s="33" t="str">
        <f aca="false">IF(AND(E87&lt;0,F87&gt;=0),3+ABS(E87)/F86,"")</f>
        <v/>
      </c>
      <c r="G88" s="33" t="str">
        <f aca="false">IF(AND(F87&lt;0,G87&gt;=0),4+ABS(F87)/G86,"")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5" t="s">
        <v>174</v>
      </c>
    </row>
    <row r="3" customFormat="false" ht="26.85" hidden="false" customHeight="false" outlineLevel="0" collapsed="false">
      <c r="A3" s="7" t="s">
        <v>175</v>
      </c>
      <c r="B3" s="7" t="s">
        <v>176</v>
      </c>
      <c r="C3" s="7" t="s">
        <v>177</v>
      </c>
      <c r="D3" s="7" t="s">
        <v>178</v>
      </c>
      <c r="E3" s="7" t="s">
        <v>179</v>
      </c>
      <c r="F3" s="7" t="s">
        <v>180</v>
      </c>
    </row>
    <row r="4" customFormat="false" ht="15" hidden="false" customHeight="false" outlineLevel="0" collapsed="false">
      <c r="A4" s="9" t="s">
        <v>141</v>
      </c>
      <c r="B4" s="9" t="s">
        <v>181</v>
      </c>
      <c r="C4" s="17" t="n">
        <f aca="false">NPV(Tasa,Flujos!C11:G11)+Flujos!B11</f>
        <v>11041.2448134041</v>
      </c>
      <c r="D4" s="34" t="n">
        <f aca="false">IFERROR(IF(IRR(Flujos!B11:G11,0)&lt;-0.99,IRR(Flujos!B11:G11,-0.5),IRR(Flujos!B11:G11,0)),"no existe")</f>
        <v>0.509196095370297</v>
      </c>
      <c r="E4" s="35" t="n">
        <f aca="false">IF(COUNT(Flujos!C13:G13)=0,"no",MIN(Flujos!C13:G13))</f>
        <v>2.02618162512211</v>
      </c>
      <c r="F4" s="35" t="n">
        <f aca="false">IF(COUNT(Flujos!C16:G16)=0,"no",MIN(Flujos!C16:G16))</f>
        <v>2.39840657601779</v>
      </c>
    </row>
    <row r="5" customFormat="false" ht="15" hidden="false" customHeight="false" outlineLevel="0" collapsed="false">
      <c r="A5" s="9"/>
      <c r="B5" s="9" t="s">
        <v>182</v>
      </c>
      <c r="C5" s="17" t="n">
        <f aca="false">NPV(Tasa,Flujos!C18:G18)+Flujos!B18</f>
        <v>8816.72515292898</v>
      </c>
      <c r="D5" s="34" t="n">
        <f aca="false">IFERROR(IF(IRR(Flujos!B18:G18,0)&lt;-0.99,IRR(Flujos!B18:G18,-0.5),IRR(Flujos!B18:G18,0)),"no existe")</f>
        <v>0.441265108544044</v>
      </c>
      <c r="E5" s="35" t="n">
        <f aca="false">IF(COUNT(Flujos!C20:G20)=0,"no",MIN(Flujos!C20:G20))</f>
        <v>2.20174739919067</v>
      </c>
      <c r="F5" s="35" t="n">
        <f aca="false">IF(COUNT(Flujos!C23:G23)=0,"no",MIN(Flujos!C23:G23))</f>
        <v>2.65428249750163</v>
      </c>
    </row>
    <row r="6" customFormat="false" ht="15" hidden="false" customHeight="false" outlineLevel="0" collapsed="false">
      <c r="A6" s="9"/>
      <c r="B6" s="9" t="s">
        <v>183</v>
      </c>
      <c r="C6" s="17" t="n">
        <f aca="false">NPV(Tasa,Flujos!C25:G25)+Flujos!B25</f>
        <v>6592.20549245382</v>
      </c>
      <c r="D6" s="34" t="n">
        <f aca="false">IFERROR(IF(IRR(Flujos!B25:G25,0)&lt;-0.99,IRR(Flujos!B25:G25,-0.5),IRR(Flujos!B25:G25,0)),"no existe")</f>
        <v>0.371652238556461</v>
      </c>
      <c r="E6" s="35" t="n">
        <f aca="false">IF(COUNT(Flujos!C27:G27)=0,"no",MIN(Flujos!C27:G27))</f>
        <v>2.4180765010853</v>
      </c>
      <c r="F6" s="35" t="n">
        <f aca="false">IF(COUNT(Flujos!C30:G30)=0,"no",MIN(Flujos!C30:G30))</f>
        <v>2.96956837018797</v>
      </c>
    </row>
    <row r="7" customFormat="false" ht="15" hidden="false" customHeight="false" outlineLevel="0" collapsed="false">
      <c r="A7" s="9" t="s">
        <v>142</v>
      </c>
      <c r="B7" s="9" t="s">
        <v>181</v>
      </c>
      <c r="C7" s="17" t="n">
        <f aca="false">NPV(Tasa,Flujos!C40:G40)+Flujos!B40</f>
        <v>34319.5079888999</v>
      </c>
      <c r="D7" s="34" t="n">
        <f aca="false">IFERROR(IF(IRR(Flujos!B40:G40,0)&lt;-0.99,IRR(Flujos!B40:G40,-0.5),IRR(Flujos!B40:G40,0)),"no existe")</f>
        <v>1.17799163232618</v>
      </c>
      <c r="E7" s="35" t="n">
        <f aca="false">IF(COUNT(Flujos!C42:G42)=0,"no",MIN(Flujos!C42:G42))</f>
        <v>0.945675414095246</v>
      </c>
      <c r="F7" s="35" t="n">
        <f aca="false">IF(COUNT(Flujos!C45:G45)=0,"no",MIN(Flujos!C45:G45))</f>
        <v>1.0725667090098</v>
      </c>
    </row>
    <row r="8" customFormat="false" ht="15" hidden="false" customHeight="false" outlineLevel="0" collapsed="false">
      <c r="A8" s="9"/>
      <c r="B8" s="9" t="s">
        <v>182</v>
      </c>
      <c r="C8" s="17" t="n">
        <f aca="false">NPV(Tasa,Flujos!C47:G47)+Flujos!B47</f>
        <v>31114.4961941621</v>
      </c>
      <c r="D8" s="34" t="n">
        <f aca="false">IFERROR(IF(IRR(Flujos!B47:G47,0)&lt;-0.99,IRR(Flujos!B47:G47,-0.5),IRR(Flujos!B47:G47,0)),"no existe")</f>
        <v>1.09101025603323</v>
      </c>
      <c r="E8" s="35" t="n">
        <f aca="false">IF(COUNT(Flujos!C49:G49)=0,"no",MIN(Flujos!C49:G49))</f>
        <v>1.01774434319975</v>
      </c>
      <c r="F8" s="35" t="n">
        <f aca="false">IF(COUNT(Flujos!C52:G52)=0,"no",MIN(Flujos!C52:G52))</f>
        <v>1.14656519034443</v>
      </c>
    </row>
    <row r="9" customFormat="false" ht="15" hidden="false" customHeight="false" outlineLevel="0" collapsed="false">
      <c r="A9" s="9"/>
      <c r="B9" s="9" t="s">
        <v>183</v>
      </c>
      <c r="C9" s="17" t="n">
        <f aca="false">NPV(Tasa,Flujos!C54:G54)+Flujos!B54</f>
        <v>27909.4843994243</v>
      </c>
      <c r="D9" s="34" t="n">
        <f aca="false">IFERROR(IF(IRR(Flujos!B54:G54,0)&lt;-0.99,IRR(Flujos!B54:G54,-0.5),IRR(Flujos!B54:G54,0)),"no existe")</f>
        <v>1.00326720300963</v>
      </c>
      <c r="E9" s="35" t="n">
        <f aca="false">IF(COUNT(Flujos!C56:G56)=0,"no",MIN(Flujos!C56:G56))</f>
        <v>1.08358018260349</v>
      </c>
      <c r="F9" s="35" t="n">
        <f aca="false">IF(COUNT(Flujos!C59:G59)=0,"no",MIN(Flujos!C59:G59))</f>
        <v>1.23217105932084</v>
      </c>
    </row>
    <row r="10" customFormat="false" ht="15" hidden="false" customHeight="false" outlineLevel="0" collapsed="false">
      <c r="A10" s="9" t="s">
        <v>143</v>
      </c>
      <c r="B10" s="9" t="s">
        <v>181</v>
      </c>
      <c r="C10" s="17" t="n">
        <f aca="false">NPV(Tasa,Flujos!C69:G69)+Flujos!B69</f>
        <v>67440.6341216495</v>
      </c>
      <c r="D10" s="34" t="n">
        <f aca="false">IFERROR(IF(IRR(Flujos!B69:G69,0)&lt;-0.99,IRR(Flujos!B69:G69,-0.5),IRR(Flujos!B69:G69,0)),"no existe")</f>
        <v>1.9031563794737</v>
      </c>
      <c r="E10" s="35" t="n">
        <f aca="false">IF(COUNT(Flujos!C71:G71)=0,"no",MIN(Flujos!C71:G71))</f>
        <v>0.617755392183023</v>
      </c>
      <c r="F10" s="35" t="n">
        <f aca="false">IF(COUNT(Flujos!C74:G74)=0,"no",MIN(Flujos!C74:G74))</f>
        <v>0.710418701010477</v>
      </c>
    </row>
    <row r="11" customFormat="false" ht="15" hidden="false" customHeight="false" outlineLevel="0" collapsed="false">
      <c r="A11" s="9"/>
      <c r="B11" s="9" t="s">
        <v>182</v>
      </c>
      <c r="C11" s="17" t="n">
        <f aca="false">NPV(Tasa,Flujos!C76:G76)+Flujos!B76</f>
        <v>62840.5438622405</v>
      </c>
      <c r="D11" s="34" t="n">
        <f aca="false">IFERROR(IF(IRR(Flujos!B76:G76,0)&lt;-0.99,IRR(Flujos!B76:G76,-0.5),IRR(Flujos!B76:G76,0)),"no existe")</f>
        <v>1.79386511738981</v>
      </c>
      <c r="E11" s="35" t="n">
        <f aca="false">IF(COUNT(Flujos!C78:G78)=0,"no",MIN(Flujos!C78:G78))</f>
        <v>0.660758077162166</v>
      </c>
      <c r="F11" s="35" t="n">
        <f aca="false">IF(COUNT(Flujos!C81:G81)=0,"no",MIN(Flujos!C81:G81))</f>
        <v>0.759871788736491</v>
      </c>
    </row>
    <row r="12" customFormat="false" ht="15" hidden="false" customHeight="false" outlineLevel="0" collapsed="false">
      <c r="A12" s="9"/>
      <c r="B12" s="9" t="s">
        <v>183</v>
      </c>
      <c r="C12" s="17" t="n">
        <f aca="false">NPV(Tasa,Flujos!C83:G83)+Flujos!B83</f>
        <v>58240.4536028315</v>
      </c>
      <c r="D12" s="34" t="n">
        <f aca="false">IFERROR(IF(IRR(Flujos!B83:G83,0)&lt;-0.99,IRR(Flujos!B83:G83,-0.5),IRR(Flujos!B83:G83,0)),"no existe")</f>
        <v>1.68416365347694</v>
      </c>
      <c r="E12" s="35" t="n">
        <f aca="false">IF(COUNT(Flujos!C85:G85)=0,"no",MIN(Flujos!C85:G85))</f>
        <v>0.710195637148377</v>
      </c>
      <c r="F12" s="35" t="n">
        <f aca="false">IF(COUNT(Flujos!C88:G88)=0,"no",MIN(Flujos!C88:G88))</f>
        <v>0.816724982720633</v>
      </c>
    </row>
    <row r="14" customFormat="false" ht="15" hidden="false" customHeight="false" outlineLevel="0" collapsed="false">
      <c r="A14" s="3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5" t="s">
        <v>185</v>
      </c>
    </row>
    <row r="2" customFormat="false" ht="15" hidden="false" customHeight="false" outlineLevel="0" collapsed="false">
      <c r="A2" s="30" t="s">
        <v>186</v>
      </c>
    </row>
    <row r="4" customFormat="false" ht="15" hidden="false" customHeight="false" outlineLevel="0" collapsed="false">
      <c r="A4" s="7" t="s">
        <v>187</v>
      </c>
      <c r="B4" s="7" t="s">
        <v>124</v>
      </c>
      <c r="C4" s="7" t="s">
        <v>125</v>
      </c>
      <c r="D4" s="7" t="s">
        <v>126</v>
      </c>
      <c r="E4" s="7" t="s">
        <v>127</v>
      </c>
      <c r="F4" s="7" t="s">
        <v>128</v>
      </c>
      <c r="G4" s="7" t="s">
        <v>188</v>
      </c>
    </row>
    <row r="5" customFormat="false" ht="15" hidden="false" customHeight="false" outlineLevel="0" collapsed="false">
      <c r="A5" s="9" t="s">
        <v>189</v>
      </c>
      <c r="B5" s="23" t="n">
        <f aca="false">1/(1+Tasa)^1</f>
        <v>0.869565217391304</v>
      </c>
      <c r="C5" s="23" t="n">
        <f aca="false">1/(1+Tasa)^2</f>
        <v>0.756143667296787</v>
      </c>
      <c r="D5" s="23" t="n">
        <f aca="false">1/(1+Tasa)^3</f>
        <v>0.657516232431988</v>
      </c>
      <c r="E5" s="23" t="n">
        <f aca="false">1/(1+Tasa)^4</f>
        <v>0.571753245593033</v>
      </c>
      <c r="F5" s="23" t="n">
        <f aca="false">1/(1+Tasa)^5</f>
        <v>0.49717673529829</v>
      </c>
      <c r="G5" s="23" t="n">
        <f aca="false">SUM(B5:F5)</f>
        <v>3.3521550980114</v>
      </c>
    </row>
    <row r="6" customFormat="false" ht="15" hidden="false" customHeight="false" outlineLevel="0" collapsed="false">
      <c r="A6" s="9" t="s">
        <v>165</v>
      </c>
      <c r="B6" s="17" t="n">
        <f aca="false">'Costos fijos'!C11</f>
        <v>3555</v>
      </c>
      <c r="C6" s="17" t="n">
        <f aca="false">'Costos fijos'!D11</f>
        <v>3675</v>
      </c>
      <c r="D6" s="17" t="n">
        <f aca="false">'Costos fijos'!E11</f>
        <v>3915</v>
      </c>
      <c r="E6" s="17" t="n">
        <f aca="false">'Costos fijos'!F11</f>
        <v>4155</v>
      </c>
      <c r="F6" s="17" t="n">
        <f aca="false">'Costos fijos'!G11</f>
        <v>4395</v>
      </c>
      <c r="G6" s="25" t="n">
        <f aca="false">SUMPRODUCT(B6:F6,B5:F5)</f>
        <v>13005.0348621881</v>
      </c>
    </row>
    <row r="7" customFormat="false" ht="15" hidden="false" customHeight="false" outlineLevel="0" collapsed="false">
      <c r="A7" s="9" t="s">
        <v>190</v>
      </c>
      <c r="B7" s="17" t="n">
        <f aca="false">Demanda!B10</f>
        <v>7200</v>
      </c>
      <c r="C7" s="17" t="n">
        <f aca="false">Demanda!C10</f>
        <v>9360</v>
      </c>
      <c r="D7" s="17" t="n">
        <f aca="false">Demanda!D10</f>
        <v>7560</v>
      </c>
      <c r="E7" s="17" t="n">
        <f aca="false">Demanda!E10</f>
        <v>10440</v>
      </c>
      <c r="F7" s="17" t="n">
        <f aca="false">Demanda!F10</f>
        <v>9000</v>
      </c>
      <c r="G7" s="25" t="n">
        <f aca="false">SUMPRODUCT(B7:F7,B5:F5)</f>
        <v>28752.891509977</v>
      </c>
    </row>
    <row r="8" customFormat="false" ht="15" hidden="false" customHeight="false" outlineLevel="0" collapsed="false">
      <c r="A8" s="9" t="s">
        <v>191</v>
      </c>
      <c r="B8" s="17" t="n">
        <f aca="false">Demanda!B9</f>
        <v>4680</v>
      </c>
      <c r="C8" s="17" t="n">
        <f aca="false">Demanda!C9</f>
        <v>3960</v>
      </c>
      <c r="D8" s="17" t="n">
        <f aca="false">Demanda!D9</f>
        <v>5760</v>
      </c>
      <c r="E8" s="17" t="n">
        <f aca="false">Demanda!E9</f>
        <v>5040</v>
      </c>
      <c r="F8" s="17" t="n">
        <f aca="false">Demanda!F9</f>
        <v>6840</v>
      </c>
      <c r="G8" s="25" t="n">
        <f aca="false">SUMPRODUCT(B8:F8,B5:F5)</f>
        <v>17133.512865924</v>
      </c>
    </row>
    <row r="10" customFormat="false" ht="15" hidden="false" customHeight="false" outlineLevel="0" collapsed="false">
      <c r="A10" s="7" t="s">
        <v>192</v>
      </c>
      <c r="B10" s="7" t="s">
        <v>20</v>
      </c>
      <c r="C10" s="7" t="s">
        <v>21</v>
      </c>
      <c r="D10" s="7"/>
      <c r="E10" s="7"/>
      <c r="F10" s="7"/>
      <c r="G10" s="7"/>
    </row>
    <row r="11" customFormat="false" ht="15" hidden="false" customHeight="false" outlineLevel="0" collapsed="false">
      <c r="A11" s="9" t="s">
        <v>193</v>
      </c>
      <c r="B11" s="16" t="n">
        <f aca="false">(Inversion+VACostos)/VASesBase</f>
        <v>0.809798028629875</v>
      </c>
      <c r="C11" s="9" t="s">
        <v>33</v>
      </c>
    </row>
    <row r="12" customFormat="false" ht="15" hidden="false" customHeight="false" outlineLevel="0" collapsed="false">
      <c r="A12" s="9" t="s">
        <v>194</v>
      </c>
      <c r="B12" s="36" t="n">
        <f aca="false">MargenEq/Ticket</f>
        <v>0.109137200623972</v>
      </c>
      <c r="C12" s="9" t="s">
        <v>36</v>
      </c>
    </row>
    <row r="13" customFormat="false" ht="15" hidden="false" customHeight="false" outlineLevel="0" collapsed="false">
      <c r="A13" s="9" t="s">
        <v>195</v>
      </c>
      <c r="B13" s="36" t="n">
        <f aca="false">(Inversion+VACostos)/VASesPes/Ticket</f>
        <v>0.183150420687208</v>
      </c>
      <c r="C13" s="9" t="s">
        <v>36</v>
      </c>
    </row>
    <row r="14" customFormat="false" ht="15" hidden="false" customHeight="false" outlineLevel="0" collapsed="false">
      <c r="A14" s="9" t="s">
        <v>196</v>
      </c>
      <c r="B14" s="13" t="n">
        <f aca="false">MargenEq/Comision</f>
        <v>2.99925195788842</v>
      </c>
      <c r="C14" s="9" t="s">
        <v>33</v>
      </c>
    </row>
    <row r="15" customFormat="false" ht="15" hidden="false" customHeight="false" outlineLevel="0" collapsed="false">
      <c r="A15" s="9" t="s">
        <v>197</v>
      </c>
      <c r="B15" s="13" t="n">
        <f aca="false">TicketEq*60/DuracionMin</f>
        <v>3.52853171516285</v>
      </c>
      <c r="C15" s="9" t="s">
        <v>54</v>
      </c>
    </row>
    <row r="16" customFormat="false" ht="15" hidden="false" customHeight="false" outlineLevel="0" collapsed="false">
      <c r="A16" s="9" t="s">
        <v>198</v>
      </c>
      <c r="B16" s="37" t="n">
        <f aca="false">TicketEq*60/DuracionMin*TipoCambio</f>
        <v>5416.29618277498</v>
      </c>
      <c r="C16" s="9" t="s">
        <v>24</v>
      </c>
    </row>
    <row r="17" customFormat="false" ht="15" hidden="false" customHeight="false" outlineLevel="0" collapsed="false">
      <c r="A17" s="9" t="s">
        <v>29</v>
      </c>
      <c r="B17" s="25" t="n">
        <f aca="false">PrecioHoraARS*DuracionMin/60/TicketEq</f>
        <v>3795.46822335474</v>
      </c>
      <c r="C17" s="9" t="s">
        <v>30</v>
      </c>
    </row>
    <row r="18" customFormat="false" ht="15" hidden="false" customHeight="false" outlineLevel="0" collapsed="false">
      <c r="A18" s="9" t="s">
        <v>199</v>
      </c>
      <c r="B18" s="36" t="n">
        <f aca="false">1-MargenEq/Margen</f>
        <v>0.59578814583714</v>
      </c>
      <c r="C18" s="9" t="s">
        <v>36</v>
      </c>
    </row>
    <row r="19" customFormat="false" ht="15" hidden="false" customHeight="false" outlineLevel="0" collapsed="false">
      <c r="A19" s="9" t="s">
        <v>200</v>
      </c>
      <c r="B19" s="25" t="n">
        <f aca="false">MargenEq/Margen*Demanda!G10</f>
        <v>3521.49367346684</v>
      </c>
      <c r="C19" s="9" t="s">
        <v>201</v>
      </c>
    </row>
    <row r="20" customFormat="false" ht="15" hidden="false" customHeight="false" outlineLevel="0" collapsed="false">
      <c r="A20" s="9" t="s">
        <v>202</v>
      </c>
      <c r="B20" s="36" t="n">
        <f aca="false">1-TicketEq/Ticket</f>
        <v>0.59578814583714</v>
      </c>
      <c r="C20" s="9" t="s">
        <v>36</v>
      </c>
    </row>
    <row r="21" customFormat="false" ht="15" hidden="false" customHeight="false" outlineLevel="0" collapsed="false">
      <c r="A21" s="9" t="s">
        <v>26</v>
      </c>
      <c r="B21" s="22" t="n">
        <f aca="false">DuracionMin*MargenEq/Margen</f>
        <v>20.6148045623059</v>
      </c>
      <c r="C21" s="9" t="s">
        <v>27</v>
      </c>
    </row>
    <row r="22" customFormat="false" ht="15" hidden="false" customHeight="false" outlineLevel="0" collapsed="false">
      <c r="A22" s="9" t="s">
        <v>203</v>
      </c>
      <c r="B22" s="25" t="n">
        <f aca="false">(NPV(Tasa,Flujos!C40:G40)+Flujos!B40)/AnualidadVA/12</f>
        <v>853.170248826376</v>
      </c>
      <c r="C22" s="9" t="s">
        <v>204</v>
      </c>
    </row>
    <row r="23" customFormat="false" ht="15" hidden="false" customHeight="false" outlineLevel="0" collapsed="false">
      <c r="A23" s="9" t="s">
        <v>205</v>
      </c>
      <c r="B23" s="25" t="n">
        <f aca="false">ExcedenteMes/ValorHoraUSD</f>
        <v>190.976928810867</v>
      </c>
      <c r="C23" s="9" t="s">
        <v>85</v>
      </c>
    </row>
    <row r="24" customFormat="false" ht="15" hidden="false" customHeight="false" outlineLevel="0" collapsed="false">
      <c r="A24" s="9" t="s">
        <v>206</v>
      </c>
      <c r="B24" s="25" t="n">
        <f aca="false">NPV(Tasa,Flujos!C11:G11)+Flujos!B11+Inversion</f>
        <v>21320.2448134041</v>
      </c>
      <c r="C24" s="9" t="s">
        <v>49</v>
      </c>
    </row>
    <row r="25" customFormat="false" ht="15" hidden="false" customHeight="false" outlineLevel="0" collapsed="false">
      <c r="A25" s="9" t="s">
        <v>207</v>
      </c>
      <c r="B25" s="25" t="n">
        <f aca="false">NPV(Tasa,Flujos!C40:G40)+Flujos!B40+Inversion</f>
        <v>44598.5079888999</v>
      </c>
      <c r="C25" s="9" t="s">
        <v>49</v>
      </c>
    </row>
    <row r="26" customFormat="false" ht="15" hidden="false" customHeight="false" outlineLevel="0" collapsed="false">
      <c r="A26" s="9" t="s">
        <v>208</v>
      </c>
      <c r="B26" s="25" t="n">
        <f aca="false">NPV(Tasa,Flujos!C69:G69)+Flujos!B69+Inversion</f>
        <v>77719.6341216495</v>
      </c>
      <c r="C26" s="9" t="s">
        <v>49</v>
      </c>
    </row>
    <row r="28" customFormat="false" ht="26.85" hidden="false" customHeight="false" outlineLevel="0" collapsed="false">
      <c r="A28" s="7" t="s">
        <v>209</v>
      </c>
      <c r="B28" s="7" t="s">
        <v>210</v>
      </c>
      <c r="C28" s="7" t="s">
        <v>211</v>
      </c>
      <c r="D28" s="7"/>
      <c r="E28" s="7"/>
      <c r="F28" s="7"/>
      <c r="G28" s="7"/>
    </row>
    <row r="29" customFormat="false" ht="15" hidden="false" customHeight="false" outlineLevel="0" collapsed="false">
      <c r="A29" s="9" t="s">
        <v>212</v>
      </c>
      <c r="B29" s="13" t="n">
        <f aca="false">PisoUSDHora*DuracionMin/60</f>
        <v>3.4</v>
      </c>
      <c r="C29" s="25" t="n">
        <f aca="false">B29*Comision*VASesBase-Inversion-VACostos</f>
        <v>3111.11954397086</v>
      </c>
    </row>
    <row r="30" customFormat="false" ht="15" hidden="false" customHeight="false" outlineLevel="0" collapsed="false">
      <c r="A30" s="9" t="s">
        <v>213</v>
      </c>
      <c r="B30" s="13" t="n">
        <f aca="false">Ticket*0.85</f>
        <v>6.307</v>
      </c>
      <c r="C30" s="25" t="n">
        <f aca="false">B30*Comision*VASesBase-Inversion-VACostos</f>
        <v>25678.9765612367</v>
      </c>
    </row>
    <row r="31" customFormat="false" ht="15" hidden="false" customHeight="false" outlineLevel="0" collapsed="false">
      <c r="A31" s="9" t="s">
        <v>214</v>
      </c>
      <c r="B31" s="13" t="n">
        <f aca="false">Ticket*0.7</f>
        <v>5.194</v>
      </c>
      <c r="C31" s="25" t="n">
        <f aca="false">B31*Comision*VASesBase-Inversion-VACostos</f>
        <v>17038.4451335735</v>
      </c>
    </row>
    <row r="32" customFormat="false" ht="15" hidden="false" customHeight="false" outlineLevel="0" collapsed="false">
      <c r="A32" s="9" t="s">
        <v>215</v>
      </c>
      <c r="B32" s="13" t="n">
        <f aca="false">ROUND(PrecioHoraARS/TipoCambio*45/60,2)</f>
        <v>6.54</v>
      </c>
      <c r="C32" s="25" t="n">
        <f aca="false">B32*Comision*VASesBase-Inversion-VACostos</f>
        <v>27487.8209661294</v>
      </c>
    </row>
    <row r="33" customFormat="false" ht="15" hidden="false" customHeight="false" outlineLevel="0" collapsed="false">
      <c r="A33" s="9" t="s">
        <v>216</v>
      </c>
      <c r="B33" s="13" t="n">
        <f aca="false">ROUND(PrecioHoraARS/TipoCambio*60/60,2)</f>
        <v>8.72</v>
      </c>
      <c r="C33" s="25" t="n">
        <f aca="false">B33*Comision*VASesBase-Inversion-VACostos</f>
        <v>44411.7729089019</v>
      </c>
    </row>
    <row r="35" customFormat="false" ht="15" hidden="false" customHeight="false" outlineLevel="0" collapsed="false">
      <c r="A35" s="20" t="s">
        <v>35</v>
      </c>
    </row>
    <row r="36" customFormat="false" ht="15" hidden="false" customHeight="false" outlineLevel="0" collapsed="false">
      <c r="A36" s="7" t="s">
        <v>217</v>
      </c>
      <c r="B36" s="7" t="s">
        <v>218</v>
      </c>
      <c r="C36" s="7" t="s">
        <v>163</v>
      </c>
      <c r="D36" s="7" t="s">
        <v>124</v>
      </c>
      <c r="E36" s="7" t="s">
        <v>125</v>
      </c>
      <c r="F36" s="7" t="s">
        <v>126</v>
      </c>
      <c r="G36" s="7" t="s">
        <v>127</v>
      </c>
      <c r="H36" s="7" t="s">
        <v>128</v>
      </c>
      <c r="I36" s="7" t="s">
        <v>219</v>
      </c>
      <c r="J36" s="7" t="s">
        <v>220</v>
      </c>
      <c r="K36" s="7" t="s">
        <v>221</v>
      </c>
      <c r="L36" s="38" t="s">
        <v>222</v>
      </c>
    </row>
    <row r="37" customFormat="false" ht="15" hidden="false" customHeight="false" outlineLevel="0" collapsed="false">
      <c r="A37" s="36" t="n">
        <f aca="false">MargenEq/Ticket</f>
        <v>0.109137200623972</v>
      </c>
      <c r="B37" s="16" t="n">
        <f aca="false">Ticket*A37</f>
        <v>0.809798028629875</v>
      </c>
      <c r="C37" s="25" t="n">
        <f aca="false">-Inversion</f>
        <v>-10279</v>
      </c>
      <c r="D37" s="25" t="n">
        <f aca="false">Demanda!B10*B37-'Costos fijos'!C11</f>
        <v>2275.5458061351</v>
      </c>
      <c r="E37" s="25" t="n">
        <f aca="false">Demanda!C10*B37-'Costos fijos'!D11</f>
        <v>3904.70954797563</v>
      </c>
      <c r="F37" s="25" t="n">
        <f aca="false">Demanda!D10*B37-'Costos fijos'!E11</f>
        <v>2207.07309644185</v>
      </c>
      <c r="G37" s="25" t="n">
        <f aca="false">Demanda!E10*B37-'Costos fijos'!F11</f>
        <v>4299.29141889589</v>
      </c>
      <c r="H37" s="25" t="n">
        <f aca="false">Demanda!F10*B37-'Costos fijos'!G11</f>
        <v>2893.18225766887</v>
      </c>
      <c r="I37" s="25" t="n">
        <f aca="false">NPV(Tasa,D37:H37)+C37</f>
        <v>0</v>
      </c>
      <c r="J37" s="39" t="n">
        <f aca="false">IFERROR(IF(IRR(C37:H37,0)&lt;-0.99,IRR(C37:H37,-0.5),IRR(C37:H37,0)),"no existe")</f>
        <v>0.15</v>
      </c>
      <c r="K37" s="25" t="n">
        <f aca="false">B37*VASesPes-Inversion-VACostos</f>
        <v>-9409.34991985819</v>
      </c>
      <c r="L37" s="39" t="n">
        <f aca="false">1-A37-ComisionMP</f>
        <v>0.830462799376028</v>
      </c>
    </row>
    <row r="38" customFormat="false" ht="15" hidden="false" customHeight="false" outlineLevel="0" collapsed="false">
      <c r="A38" s="26" t="n">
        <v>0.21</v>
      </c>
      <c r="B38" s="16" t="n">
        <f aca="false">Ticket*A38</f>
        <v>1.5582</v>
      </c>
      <c r="C38" s="25" t="n">
        <f aca="false">-Inversion</f>
        <v>-10279</v>
      </c>
      <c r="D38" s="25" t="n">
        <f aca="false">Demanda!B10*B38-'Costos fijos'!C11</f>
        <v>7664.04</v>
      </c>
      <c r="E38" s="25" t="n">
        <f aca="false">Demanda!C10*B38-'Costos fijos'!D11</f>
        <v>10909.752</v>
      </c>
      <c r="F38" s="25" t="n">
        <f aca="false">Demanda!D10*B38-'Costos fijos'!E11</f>
        <v>7864.992</v>
      </c>
      <c r="G38" s="25" t="n">
        <f aca="false">Demanda!E10*B38-'Costos fijos'!F11</f>
        <v>12112.608</v>
      </c>
      <c r="H38" s="25" t="n">
        <f aca="false">Demanda!F10*B38-'Costos fijos'!G11</f>
        <v>9628.8</v>
      </c>
      <c r="I38" s="25" t="n">
        <f aca="false">NPV(Tasa,D38:H38)+C38</f>
        <v>21518.7206886581</v>
      </c>
      <c r="J38" s="39" t="n">
        <f aca="false">IFERROR(IF(IRR(C38:H38,0)&lt;-0.99,IRR(C38:H38,-0.5),IRR(C38:H38,0)),"no existe")</f>
        <v>0.829934540958336</v>
      </c>
      <c r="K38" s="25" t="n">
        <f aca="false">B38*VASesPes-Inversion-VACostos</f>
        <v>3413.40488549476</v>
      </c>
      <c r="L38" s="39" t="n">
        <f aca="false">1-A38-ComisionMP</f>
        <v>0.7296</v>
      </c>
    </row>
    <row r="39" customFormat="false" ht="15" hidden="false" customHeight="false" outlineLevel="0" collapsed="false">
      <c r="A39" s="26" t="n">
        <v>0.23</v>
      </c>
      <c r="B39" s="16" t="n">
        <f aca="false">Ticket*A39</f>
        <v>1.7066</v>
      </c>
      <c r="C39" s="25" t="n">
        <f aca="false">-Inversion</f>
        <v>-10279</v>
      </c>
      <c r="D39" s="25" t="n">
        <f aca="false">Demanda!B10*B39-'Costos fijos'!C11</f>
        <v>8732.52</v>
      </c>
      <c r="E39" s="25" t="n">
        <f aca="false">Demanda!C10*B39-'Costos fijos'!D11</f>
        <v>12298.776</v>
      </c>
      <c r="F39" s="25" t="n">
        <f aca="false">Demanda!D10*B39-'Costos fijos'!E11</f>
        <v>8986.896</v>
      </c>
      <c r="G39" s="25" t="n">
        <f aca="false">Demanda!E10*B39-'Costos fijos'!F11</f>
        <v>13661.904</v>
      </c>
      <c r="H39" s="25" t="n">
        <f aca="false">Demanda!F10*B39-'Costos fijos'!G11</f>
        <v>10964.4</v>
      </c>
      <c r="I39" s="25" t="n">
        <f aca="false">NPV(Tasa,D39:H39)+C39</f>
        <v>25785.6497887387</v>
      </c>
      <c r="J39" s="39" t="n">
        <f aca="false">IFERROR(IF(IRR(C39:H39,0)&lt;-0.99,IRR(C39:H39,-0.5),IRR(C39:H39,0)),"no existe")</f>
        <v>0.948022107229902</v>
      </c>
      <c r="K39" s="25" t="n">
        <f aca="false">B39*VASesPes-Inversion-VACostos</f>
        <v>5956.01819479789</v>
      </c>
      <c r="L39" s="39" t="n">
        <f aca="false">1-A39-ComisionMP</f>
        <v>0.7096</v>
      </c>
    </row>
    <row r="40" customFormat="false" ht="15" hidden="false" customHeight="false" outlineLevel="0" collapsed="false">
      <c r="A40" s="26" t="n">
        <v>0.25</v>
      </c>
      <c r="B40" s="16" t="n">
        <f aca="false">Ticket*A40</f>
        <v>1.855</v>
      </c>
      <c r="C40" s="25" t="n">
        <f aca="false">-Inversion</f>
        <v>-10279</v>
      </c>
      <c r="D40" s="25" t="n">
        <f aca="false">Demanda!B10*B40-'Costos fijos'!C11</f>
        <v>9801</v>
      </c>
      <c r="E40" s="25" t="n">
        <f aca="false">Demanda!C10*B40-'Costos fijos'!D11</f>
        <v>13687.8</v>
      </c>
      <c r="F40" s="25" t="n">
        <f aca="false">Demanda!D10*B40-'Costos fijos'!E11</f>
        <v>10108.8</v>
      </c>
      <c r="G40" s="25" t="n">
        <f aca="false">Demanda!E10*B40-'Costos fijos'!F11</f>
        <v>15211.2</v>
      </c>
      <c r="H40" s="25" t="n">
        <f aca="false">Demanda!F10*B40-'Costos fijos'!G11</f>
        <v>12300</v>
      </c>
      <c r="I40" s="25" t="n">
        <f aca="false">NPV(Tasa,D40:H40)+C40</f>
        <v>30052.5788888193</v>
      </c>
      <c r="J40" s="39" t="n">
        <f aca="false">IFERROR(IF(IRR(C40:H40,0)&lt;-0.99,IRR(C40:H40,-0.5),IRR(C40:H40,0)),"no existe")</f>
        <v>1.06386915129071</v>
      </c>
      <c r="K40" s="25" t="n">
        <f aca="false">B40*VASesPes-Inversion-VACostos</f>
        <v>8498.63150410101</v>
      </c>
      <c r="L40" s="39" t="n">
        <f aca="false">1-A40-ComisionMP</f>
        <v>0.6896</v>
      </c>
    </row>
    <row r="41" customFormat="false" ht="15" hidden="false" customHeight="false" outlineLevel="0" collapsed="false">
      <c r="A41" s="36" t="n">
        <f aca="false">Comision</f>
        <v>0.27</v>
      </c>
      <c r="B41" s="16" t="n">
        <f aca="false">Ticket*A41</f>
        <v>2.0034</v>
      </c>
      <c r="C41" s="25" t="n">
        <f aca="false">-Inversion</f>
        <v>-10279</v>
      </c>
      <c r="D41" s="25" t="n">
        <f aca="false">Demanda!B10*B41-'Costos fijos'!C11</f>
        <v>10869.48</v>
      </c>
      <c r="E41" s="25" t="n">
        <f aca="false">Demanda!C10*B41-'Costos fijos'!D11</f>
        <v>15076.824</v>
      </c>
      <c r="F41" s="25" t="n">
        <f aca="false">Demanda!D10*B41-'Costos fijos'!E11</f>
        <v>11230.704</v>
      </c>
      <c r="G41" s="25" t="n">
        <f aca="false">Demanda!E10*B41-'Costos fijos'!F11</f>
        <v>16760.496</v>
      </c>
      <c r="H41" s="25" t="n">
        <f aca="false">Demanda!F10*B41-'Costos fijos'!G11</f>
        <v>13635.6</v>
      </c>
      <c r="I41" s="25" t="n">
        <f aca="false">NPV(Tasa,D41:H41)+C41</f>
        <v>34319.5079888999</v>
      </c>
      <c r="J41" s="39" t="n">
        <f aca="false">IFERROR(IF(IRR(C41:H41,0)&lt;-0.99,IRR(C41:H41,-0.5),IRR(C41:H41,0)),"no existe")</f>
        <v>1.17799163232618</v>
      </c>
      <c r="K41" s="25" t="n">
        <f aca="false">B41*VASesPes-Inversion-VACostos</f>
        <v>11041.2448134041</v>
      </c>
      <c r="L41" s="39" t="n">
        <f aca="false">1-A41-ComisionMP</f>
        <v>0.6696</v>
      </c>
    </row>
    <row r="42" customFormat="false" ht="15" hidden="false" customHeight="false" outlineLevel="0" collapsed="false">
      <c r="A42" s="26" t="n">
        <v>0.3</v>
      </c>
      <c r="B42" s="16" t="n">
        <f aca="false">Ticket*A42</f>
        <v>2.226</v>
      </c>
      <c r="C42" s="25" t="n">
        <f aca="false">-Inversion</f>
        <v>-10279</v>
      </c>
      <c r="D42" s="25" t="n">
        <f aca="false">Demanda!B10*B42-'Costos fijos'!C11</f>
        <v>12472.2</v>
      </c>
      <c r="E42" s="25" t="n">
        <f aca="false">Demanda!C10*B42-'Costos fijos'!D11</f>
        <v>17160.36</v>
      </c>
      <c r="F42" s="25" t="n">
        <f aca="false">Demanda!D10*B42-'Costos fijos'!E11</f>
        <v>12913.56</v>
      </c>
      <c r="G42" s="25" t="n">
        <f aca="false">Demanda!E10*B42-'Costos fijos'!F11</f>
        <v>19084.44</v>
      </c>
      <c r="H42" s="25" t="n">
        <f aca="false">Demanda!F10*B42-'Costos fijos'!G11</f>
        <v>15639</v>
      </c>
      <c r="I42" s="25" t="n">
        <f aca="false">NPV(Tasa,D42:H42)+C42</f>
        <v>40719.9016390208</v>
      </c>
      <c r="J42" s="39" t="n">
        <f aca="false">IFERROR(IF(IRR(C42:H42,0)&lt;-0.99,IRR(C42:H42,-0.5),IRR(C42:H42,0)),"no existe")</f>
        <v>1.34672106490021</v>
      </c>
      <c r="K42" s="25" t="n">
        <f aca="false">B42*VASesPes-Inversion-VACostos</f>
        <v>14855.1647773588</v>
      </c>
      <c r="L42" s="39" t="n">
        <f aca="false">1-A42-ComisionMP</f>
        <v>0.6396</v>
      </c>
    </row>
    <row r="43" customFormat="false" ht="15" hidden="false" customHeight="false" outlineLevel="0" collapsed="false">
      <c r="A43" s="26" t="n">
        <v>0.33</v>
      </c>
      <c r="B43" s="16" t="n">
        <f aca="false">Ticket*A43</f>
        <v>2.4486</v>
      </c>
      <c r="C43" s="25" t="n">
        <f aca="false">-Inversion</f>
        <v>-10279</v>
      </c>
      <c r="D43" s="25" t="n">
        <f aca="false">Demanda!B10*B43-'Costos fijos'!C11</f>
        <v>14074.92</v>
      </c>
      <c r="E43" s="25" t="n">
        <f aca="false">Demanda!C10*B43-'Costos fijos'!D11</f>
        <v>19243.896</v>
      </c>
      <c r="F43" s="25" t="n">
        <f aca="false">Demanda!D10*B43-'Costos fijos'!E11</f>
        <v>14596.416</v>
      </c>
      <c r="G43" s="25" t="n">
        <f aca="false">Demanda!E10*B43-'Costos fijos'!F11</f>
        <v>21408.384</v>
      </c>
      <c r="H43" s="25" t="n">
        <f aca="false">Demanda!F10*B43-'Costos fijos'!G11</f>
        <v>17642.4</v>
      </c>
      <c r="I43" s="25" t="n">
        <f aca="false">NPV(Tasa,D43:H43)+C43</f>
        <v>47120.2952891417</v>
      </c>
      <c r="J43" s="39" t="n">
        <f aca="false">IFERROR(IF(IRR(C43:H43,0)&lt;-0.99,IRR(C43:H43,-0.5),IRR(C43:H43,0)),"no existe")</f>
        <v>1.51324099066166</v>
      </c>
      <c r="K43" s="25" t="n">
        <f aca="false">B43*VASesPes-Inversion-VACostos</f>
        <v>18669.0847413135</v>
      </c>
      <c r="L43" s="39" t="n">
        <f aca="false">1-A43-ComisionMP</f>
        <v>0.6096</v>
      </c>
    </row>
    <row r="45" customFormat="false" ht="15" hidden="false" customHeight="false" outlineLevel="0" collapsed="false">
      <c r="A45" s="20" t="s">
        <v>29</v>
      </c>
    </row>
    <row r="46" customFormat="false" ht="15" hidden="false" customHeight="false" outlineLevel="0" collapsed="false">
      <c r="A46" s="7" t="s">
        <v>223</v>
      </c>
      <c r="B46" s="7" t="s">
        <v>224</v>
      </c>
      <c r="C46" s="7" t="s">
        <v>218</v>
      </c>
      <c r="D46" s="7" t="s">
        <v>163</v>
      </c>
      <c r="E46" s="7" t="s">
        <v>124</v>
      </c>
      <c r="F46" s="7" t="s">
        <v>125</v>
      </c>
      <c r="G46" s="7" t="s">
        <v>126</v>
      </c>
      <c r="H46" s="7" t="s">
        <v>127</v>
      </c>
      <c r="I46" s="7" t="s">
        <v>128</v>
      </c>
      <c r="J46" s="7" t="s">
        <v>219</v>
      </c>
      <c r="K46" s="7" t="s">
        <v>220</v>
      </c>
      <c r="L46" s="38" t="s">
        <v>225</v>
      </c>
      <c r="M46" s="38" t="s">
        <v>226</v>
      </c>
    </row>
    <row r="47" customFormat="false" ht="15" hidden="false" customHeight="false" outlineLevel="0" collapsed="false">
      <c r="A47" s="18" t="n">
        <v>1400</v>
      </c>
      <c r="B47" s="13" t="n">
        <f aca="false">IF(A47=TipoCambio,Ticket,ROUND(PrecioHoraARS*DuracionMin/60/A47,2))</f>
        <v>8.13</v>
      </c>
      <c r="C47" s="13" t="n">
        <f aca="false">B47*Comision</f>
        <v>2.1951</v>
      </c>
      <c r="D47" s="25" t="n">
        <f aca="false">-Inversion</f>
        <v>-10279</v>
      </c>
      <c r="E47" s="25" t="n">
        <f aca="false">Demanda!B10*C47-'Costos fijos'!C11</f>
        <v>12249.72</v>
      </c>
      <c r="F47" s="25" t="n">
        <f aca="false">Demanda!C10*C47-'Costos fijos'!D11</f>
        <v>16871.136</v>
      </c>
      <c r="G47" s="25" t="n">
        <f aca="false">Demanda!D10*C47-'Costos fijos'!E11</f>
        <v>12679.956</v>
      </c>
      <c r="H47" s="25" t="n">
        <f aca="false">Demanda!E10*C47-'Costos fijos'!F11</f>
        <v>18761.844</v>
      </c>
      <c r="I47" s="25" t="n">
        <f aca="false">Demanda!F10*C47-'Costos fijos'!G11</f>
        <v>15360.9</v>
      </c>
      <c r="J47" s="25" t="n">
        <f aca="false">NPV(Tasa,E47:I47)+D47</f>
        <v>39831.4372913625</v>
      </c>
      <c r="K47" s="39" t="n">
        <f aca="false">IFERROR(IF(IRR(D47:I47,0)&lt;-0.99,IRR(D47:I47,-0.5),IRR(D47:I47,0)),"no existe")</f>
        <v>1.3234468950609</v>
      </c>
      <c r="L47" s="25" t="n">
        <f aca="false">'Costos fijos'!C11/C47</f>
        <v>1619.51619516195</v>
      </c>
      <c r="M47" s="25" t="n">
        <f aca="false">'Costos fijos'!G11/C47</f>
        <v>2002.18668853355</v>
      </c>
    </row>
    <row r="48" customFormat="false" ht="15" hidden="false" customHeight="false" outlineLevel="0" collapsed="false">
      <c r="A48" s="25" t="n">
        <f aca="false">TipoCambio</f>
        <v>1535</v>
      </c>
      <c r="B48" s="13" t="n">
        <f aca="false">IF(A48=TipoCambio,Ticket,ROUND(PrecioHoraARS*DuracionMin/60/A48,2))</f>
        <v>7.42</v>
      </c>
      <c r="C48" s="13" t="n">
        <f aca="false">B48*Comision</f>
        <v>2.0034</v>
      </c>
      <c r="D48" s="25" t="n">
        <f aca="false">-Inversion</f>
        <v>-10279</v>
      </c>
      <c r="E48" s="25" t="n">
        <f aca="false">Demanda!B10*C48-'Costos fijos'!C11</f>
        <v>10869.48</v>
      </c>
      <c r="F48" s="25" t="n">
        <f aca="false">Demanda!C10*C48-'Costos fijos'!D11</f>
        <v>15076.824</v>
      </c>
      <c r="G48" s="25" t="n">
        <f aca="false">Demanda!D10*C48-'Costos fijos'!E11</f>
        <v>11230.704</v>
      </c>
      <c r="H48" s="25" t="n">
        <f aca="false">Demanda!E10*C48-'Costos fijos'!F11</f>
        <v>16760.496</v>
      </c>
      <c r="I48" s="25" t="n">
        <f aca="false">Demanda!F10*C48-'Costos fijos'!G11</f>
        <v>13635.6</v>
      </c>
      <c r="J48" s="25" t="n">
        <f aca="false">NPV(Tasa,E48:I48)+D48</f>
        <v>34319.5079888999</v>
      </c>
      <c r="K48" s="39" t="n">
        <f aca="false">IFERROR(IF(IRR(D48:I48,0)&lt;-0.99,IRR(D48:I48,-0.5),IRR(D48:I48,0)),"no existe")</f>
        <v>1.17799163232618</v>
      </c>
      <c r="L48" s="25" t="n">
        <f aca="false">'Costos fijos'!C11/C48</f>
        <v>1774.48337825696</v>
      </c>
      <c r="M48" s="25" t="n">
        <f aca="false">'Costos fijos'!G11/C48</f>
        <v>2193.77058999701</v>
      </c>
    </row>
    <row r="49" customFormat="false" ht="15" hidden="false" customHeight="false" outlineLevel="0" collapsed="false">
      <c r="A49" s="18" t="n">
        <v>1700</v>
      </c>
      <c r="B49" s="13" t="n">
        <f aca="false">IF(A49=TipoCambio,Ticket,ROUND(PrecioHoraARS*DuracionMin/60/A49,2))</f>
        <v>6.7</v>
      </c>
      <c r="C49" s="13" t="n">
        <f aca="false">B49*Comision</f>
        <v>1.809</v>
      </c>
      <c r="D49" s="25" t="n">
        <f aca="false">-Inversion</f>
        <v>-10279</v>
      </c>
      <c r="E49" s="25" t="n">
        <f aca="false">Demanda!B10*C49-'Costos fijos'!C11</f>
        <v>9469.8</v>
      </c>
      <c r="F49" s="25" t="n">
        <f aca="false">Demanda!C10*C49-'Costos fijos'!D11</f>
        <v>13257.24</v>
      </c>
      <c r="G49" s="25" t="n">
        <f aca="false">Demanda!D10*C49-'Costos fijos'!E11</f>
        <v>9761.04</v>
      </c>
      <c r="H49" s="25" t="n">
        <f aca="false">Demanda!E10*C49-'Costos fijos'!F11</f>
        <v>14730.96</v>
      </c>
      <c r="I49" s="25" t="n">
        <f aca="false">Demanda!F10*C49-'Costos fijos'!G11</f>
        <v>11886</v>
      </c>
      <c r="J49" s="25" t="n">
        <f aca="false">NPV(Tasa,E49:I49)+D49</f>
        <v>28729.9458793604</v>
      </c>
      <c r="K49" s="39" t="n">
        <f aca="false">IFERROR(IF(IRR(D49:I49,0)&lt;-0.99,IRR(D49:I49,-0.5),IRR(D49:I49,0)),"no existe")</f>
        <v>1.02816474136312</v>
      </c>
      <c r="L49" s="25" t="n">
        <f aca="false">'Costos fijos'!C11/C49</f>
        <v>1965.17412935323</v>
      </c>
      <c r="M49" s="25" t="n">
        <f aca="false">'Costos fijos'!G11/C49</f>
        <v>2429.51907131012</v>
      </c>
    </row>
    <row r="50" customFormat="false" ht="15" hidden="false" customHeight="false" outlineLevel="0" collapsed="false">
      <c r="A50" s="18" t="n">
        <v>1900</v>
      </c>
      <c r="B50" s="13" t="n">
        <f aca="false">IF(A50=TipoCambio,Ticket,ROUND(PrecioHoraARS*DuracionMin/60/A50,2))</f>
        <v>5.99</v>
      </c>
      <c r="C50" s="13" t="n">
        <f aca="false">B50*Comision</f>
        <v>1.6173</v>
      </c>
      <c r="D50" s="25" t="n">
        <f aca="false">-Inversion</f>
        <v>-10279</v>
      </c>
      <c r="E50" s="25" t="n">
        <f aca="false">Demanda!B10*C50-'Costos fijos'!C11</f>
        <v>8089.56</v>
      </c>
      <c r="F50" s="25" t="n">
        <f aca="false">Demanda!C10*C50-'Costos fijos'!D11</f>
        <v>11462.928</v>
      </c>
      <c r="G50" s="25" t="n">
        <f aca="false">Demanda!D10*C50-'Costos fijos'!E11</f>
        <v>8311.788</v>
      </c>
      <c r="H50" s="25" t="n">
        <f aca="false">Demanda!E10*C50-'Costos fijos'!F11</f>
        <v>12729.612</v>
      </c>
      <c r="I50" s="25" t="n">
        <f aca="false">Demanda!F10*C50-'Costos fijos'!G11</f>
        <v>10160.7</v>
      </c>
      <c r="J50" s="25" t="n">
        <f aca="false">NPV(Tasa,E50:I50)+D50</f>
        <v>23218.0165768978</v>
      </c>
      <c r="K50" s="39" t="n">
        <f aca="false">IFERROR(IF(IRR(D50:I50,0)&lt;-0.99,IRR(D50:I50,-0.5),IRR(D50:I50,0)),"no existe")</f>
        <v>0.877272403781583</v>
      </c>
      <c r="L50" s="25" t="n">
        <f aca="false">'Costos fijos'!C11/C50</f>
        <v>2198.10795770729</v>
      </c>
      <c r="M50" s="25" t="n">
        <f aca="false">'Costos fijos'!G11/C50</f>
        <v>2717.49211649045</v>
      </c>
    </row>
    <row r="51" customFormat="false" ht="15" hidden="false" customHeight="false" outlineLevel="0" collapsed="false">
      <c r="A51" s="18" t="n">
        <v>2100</v>
      </c>
      <c r="B51" s="13" t="n">
        <f aca="false">IF(A51=TipoCambio,Ticket,ROUND(PrecioHoraARS*DuracionMin/60/A51,2))</f>
        <v>5.42</v>
      </c>
      <c r="C51" s="13" t="n">
        <f aca="false">B51*Comision</f>
        <v>1.4634</v>
      </c>
      <c r="D51" s="25" t="n">
        <f aca="false">-Inversion</f>
        <v>-10279</v>
      </c>
      <c r="E51" s="25" t="n">
        <f aca="false">Demanda!B10*C51-'Costos fijos'!C11</f>
        <v>6981.48</v>
      </c>
      <c r="F51" s="25" t="n">
        <f aca="false">Demanda!C10*C51-'Costos fijos'!D11</f>
        <v>10022.424</v>
      </c>
      <c r="G51" s="25" t="n">
        <f aca="false">Demanda!D10*C51-'Costos fijos'!E11</f>
        <v>7148.304</v>
      </c>
      <c r="H51" s="25" t="n">
        <f aca="false">Demanda!E10*C51-'Costos fijos'!F11</f>
        <v>11122.896</v>
      </c>
      <c r="I51" s="25" t="n">
        <f aca="false">Demanda!F10*C51-'Costos fijos'!G11</f>
        <v>8775.6</v>
      </c>
      <c r="J51" s="25" t="n">
        <f aca="false">NPV(Tasa,E51:I51)+D51</f>
        <v>18792.9465735123</v>
      </c>
      <c r="K51" s="39" t="n">
        <f aca="false">IFERROR(IF(IRR(D51:I51,0)&lt;-0.99,IRR(D51:I51,-0.5),IRR(D51:I51,0)),"no existe")</f>
        <v>0.752995734464131</v>
      </c>
      <c r="L51" s="25" t="n">
        <f aca="false">'Costos fijos'!C11/C51</f>
        <v>2429.27429274293</v>
      </c>
      <c r="M51" s="25" t="n">
        <f aca="false">'Costos fijos'!G11/C51</f>
        <v>3003.28003280033</v>
      </c>
    </row>
    <row r="53" customFormat="false" ht="15" hidden="false" customHeight="false" outlineLevel="0" collapsed="false">
      <c r="A53" s="20" t="s">
        <v>227</v>
      </c>
    </row>
    <row r="54" customFormat="false" ht="15" hidden="false" customHeight="false" outlineLevel="0" collapsed="false">
      <c r="A54" s="7" t="s">
        <v>91</v>
      </c>
      <c r="B54" s="7" t="s">
        <v>163</v>
      </c>
      <c r="C54" s="7" t="s">
        <v>124</v>
      </c>
      <c r="D54" s="7" t="s">
        <v>125</v>
      </c>
      <c r="E54" s="7" t="s">
        <v>126</v>
      </c>
      <c r="F54" s="7" t="s">
        <v>127</v>
      </c>
      <c r="G54" s="7" t="s">
        <v>128</v>
      </c>
    </row>
    <row r="55" customFormat="false" ht="15" hidden="false" customHeight="false" outlineLevel="0" collapsed="false">
      <c r="A55" s="27" t="s">
        <v>228</v>
      </c>
      <c r="B55" s="32" t="n">
        <f aca="false">-InversionCota</f>
        <v>-25730</v>
      </c>
      <c r="C55" s="32" t="n">
        <f aca="false">Flujos!C11</f>
        <v>5820.912</v>
      </c>
      <c r="D55" s="32" t="n">
        <f aca="false">Flujos!D11</f>
        <v>4258.464</v>
      </c>
      <c r="E55" s="32" t="n">
        <f aca="false">Flujos!E11</f>
        <v>7624.584</v>
      </c>
      <c r="F55" s="32" t="n">
        <f aca="false">Flujos!F11</f>
        <v>5942.136</v>
      </c>
      <c r="G55" s="32" t="n">
        <f aca="false">Flujos!G11</f>
        <v>9308.256</v>
      </c>
    </row>
    <row r="56" customFormat="false" ht="15" hidden="false" customHeight="false" outlineLevel="0" collapsed="false">
      <c r="A56" s="30" t="s">
        <v>167</v>
      </c>
      <c r="B56" s="25" t="n">
        <f aca="false">B55</f>
        <v>-25730</v>
      </c>
      <c r="C56" s="25" t="n">
        <f aca="false">B56+C55</f>
        <v>-19909.088</v>
      </c>
      <c r="D56" s="25" t="n">
        <f aca="false">C56+D55</f>
        <v>-15650.624</v>
      </c>
      <c r="E56" s="25" t="n">
        <f aca="false">D56+E55</f>
        <v>-8026.04</v>
      </c>
      <c r="F56" s="25" t="n">
        <f aca="false">E56+F55</f>
        <v>-2083.904</v>
      </c>
      <c r="G56" s="25" t="n">
        <f aca="false">F56+G55</f>
        <v>7224.352</v>
      </c>
    </row>
    <row r="57" customFormat="false" ht="15" hidden="false" customHeight="false" outlineLevel="0" collapsed="false">
      <c r="A57" s="30" t="s">
        <v>168</v>
      </c>
      <c r="C57" s="33" t="str">
        <f aca="false">IF(AND(B56&lt;0,C56&gt;=0),0+ABS(B56)/C55,"")</f>
        <v/>
      </c>
      <c r="D57" s="33" t="str">
        <f aca="false">IF(AND(C56&lt;0,D56&gt;=0),1+ABS(C56)/D55,"")</f>
        <v/>
      </c>
      <c r="E57" s="33" t="str">
        <f aca="false">IF(AND(D56&lt;0,E56&gt;=0),2+ABS(D56)/E55,"")</f>
        <v/>
      </c>
      <c r="F57" s="33" t="str">
        <f aca="false">IF(AND(E56&lt;0,F56&gt;=0),3+ABS(E56)/F55,"")</f>
        <v/>
      </c>
      <c r="G57" s="33" t="n">
        <f aca="false">IF(AND(F56&lt;0,G56&gt;=0),4+ABS(F56)/G55,"")</f>
        <v>4.22387695396431</v>
      </c>
    </row>
    <row r="58" customFormat="false" ht="15" hidden="false" customHeight="false" outlineLevel="0" collapsed="false">
      <c r="A58" s="30" t="s">
        <v>169</v>
      </c>
      <c r="B58" s="25" t="n">
        <f aca="false">B55/(1+Tasa)^0</f>
        <v>-25730</v>
      </c>
      <c r="C58" s="25" t="n">
        <f aca="false">C55/(1+Tasa)^1</f>
        <v>5061.66260869565</v>
      </c>
      <c r="D58" s="25" t="n">
        <f aca="false">D55/(1+Tasa)^2</f>
        <v>3220.01058601134</v>
      </c>
      <c r="E58" s="25" t="n">
        <f aca="false">E55/(1+Tasa)^3</f>
        <v>5013.28774554122</v>
      </c>
      <c r="F58" s="25" t="n">
        <f aca="false">F55/(1+Tasa)^4</f>
        <v>3397.43554375521</v>
      </c>
      <c r="G58" s="25" t="n">
        <f aca="false">G55/(1+Tasa)^5</f>
        <v>4627.84832940072</v>
      </c>
    </row>
    <row r="59" customFormat="false" ht="15" hidden="false" customHeight="false" outlineLevel="0" collapsed="false">
      <c r="A59" s="30" t="s">
        <v>170</v>
      </c>
      <c r="B59" s="25" t="n">
        <f aca="false">B58</f>
        <v>-25730</v>
      </c>
      <c r="C59" s="25" t="n">
        <f aca="false">B59+C58</f>
        <v>-20668.3373913043</v>
      </c>
      <c r="D59" s="25" t="n">
        <f aca="false">C59+D58</f>
        <v>-17448.326805293</v>
      </c>
      <c r="E59" s="25" t="n">
        <f aca="false">D59+E58</f>
        <v>-12435.0390597518</v>
      </c>
      <c r="F59" s="25" t="n">
        <f aca="false">E59+F58</f>
        <v>-9037.60351599658</v>
      </c>
      <c r="G59" s="25" t="n">
        <f aca="false">F59+G58</f>
        <v>-4409.75518659586</v>
      </c>
    </row>
    <row r="60" customFormat="false" ht="15" hidden="false" customHeight="false" outlineLevel="0" collapsed="false">
      <c r="A60" s="30" t="s">
        <v>171</v>
      </c>
      <c r="C60" s="33" t="str">
        <f aca="false">IF(AND(B59&lt;0,C59&gt;=0),0+ABS(B59)/C58,"")</f>
        <v/>
      </c>
      <c r="D60" s="33" t="str">
        <f aca="false">IF(AND(C59&lt;0,D59&gt;=0),1+ABS(C59)/D58,"")</f>
        <v/>
      </c>
      <c r="E60" s="33" t="str">
        <f aca="false">IF(AND(D59&lt;0,E59&gt;=0),2+ABS(D59)/E58,"")</f>
        <v/>
      </c>
      <c r="F60" s="33" t="str">
        <f aca="false">IF(AND(E59&lt;0,F59&gt;=0),3+ABS(E59)/F58,"")</f>
        <v/>
      </c>
      <c r="G60" s="33" t="str">
        <f aca="false">IF(AND(F59&lt;0,G59&gt;=0),4+ABS(F59)/G58,"")</f>
        <v/>
      </c>
    </row>
    <row r="62" customFormat="false" ht="15" hidden="false" customHeight="false" outlineLevel="0" collapsed="false">
      <c r="A62" s="27" t="s">
        <v>229</v>
      </c>
      <c r="B62" s="32" t="n">
        <f aca="false">-InversionCota</f>
        <v>-25730</v>
      </c>
      <c r="C62" s="32" t="n">
        <f aca="false">Flujos!C40</f>
        <v>10869.48</v>
      </c>
      <c r="D62" s="32" t="n">
        <f aca="false">Flujos!D40</f>
        <v>15076.824</v>
      </c>
      <c r="E62" s="32" t="n">
        <f aca="false">Flujos!E40</f>
        <v>11230.704</v>
      </c>
      <c r="F62" s="32" t="n">
        <f aca="false">Flujos!F40</f>
        <v>16760.496</v>
      </c>
      <c r="G62" s="32" t="n">
        <f aca="false">Flujos!G40</f>
        <v>13635.6</v>
      </c>
    </row>
    <row r="63" customFormat="false" ht="15" hidden="false" customHeight="false" outlineLevel="0" collapsed="false">
      <c r="A63" s="30" t="s">
        <v>167</v>
      </c>
      <c r="B63" s="25" t="n">
        <f aca="false">B62</f>
        <v>-25730</v>
      </c>
      <c r="C63" s="25" t="n">
        <f aca="false">B63+C62</f>
        <v>-14860.52</v>
      </c>
      <c r="D63" s="25" t="n">
        <f aca="false">C63+D62</f>
        <v>216.304000000002</v>
      </c>
      <c r="E63" s="25" t="n">
        <f aca="false">D63+E62</f>
        <v>11447.008</v>
      </c>
      <c r="F63" s="25" t="n">
        <f aca="false">E63+F62</f>
        <v>28207.504</v>
      </c>
      <c r="G63" s="25" t="n">
        <f aca="false">F63+G62</f>
        <v>41843.104</v>
      </c>
    </row>
    <row r="64" customFormat="false" ht="15" hidden="false" customHeight="false" outlineLevel="0" collapsed="false">
      <c r="A64" s="30" t="s">
        <v>168</v>
      </c>
      <c r="C64" s="33" t="str">
        <f aca="false">IF(AND(B63&lt;0,C63&gt;=0),0+ABS(B63)/C62,"")</f>
        <v/>
      </c>
      <c r="D64" s="33" t="n">
        <f aca="false">IF(AND(C63&lt;0,D63&gt;=0),1+ABS(C63)/D62,"")</f>
        <v>1.98565321184356</v>
      </c>
      <c r="E64" s="33" t="str">
        <f aca="false">IF(AND(D63&lt;0,E63&gt;=0),2+ABS(D63)/E62,"")</f>
        <v/>
      </c>
      <c r="F64" s="33" t="str">
        <f aca="false">IF(AND(E63&lt;0,F63&gt;=0),3+ABS(E63)/F62,"")</f>
        <v/>
      </c>
      <c r="G64" s="33" t="str">
        <f aca="false">IF(AND(F63&lt;0,G63&gt;=0),4+ABS(F63)/G62,"")</f>
        <v/>
      </c>
    </row>
    <row r="65" customFormat="false" ht="15" hidden="false" customHeight="false" outlineLevel="0" collapsed="false">
      <c r="A65" s="30" t="s">
        <v>169</v>
      </c>
      <c r="B65" s="25" t="n">
        <f aca="false">B62/(1+Tasa)^0</f>
        <v>-25730</v>
      </c>
      <c r="C65" s="25" t="n">
        <f aca="false">C62/(1+Tasa)^1</f>
        <v>9451.72173913044</v>
      </c>
      <c r="D65" s="25" t="n">
        <f aca="false">D62/(1+Tasa)^2</f>
        <v>11400.2449905482</v>
      </c>
      <c r="E65" s="25" t="n">
        <f aca="false">E62/(1+Tasa)^3</f>
        <v>7384.37018163886</v>
      </c>
      <c r="F65" s="25" t="n">
        <f aca="false">F62/(1+Tasa)^4</f>
        <v>9582.86798574905</v>
      </c>
      <c r="G65" s="25" t="n">
        <f aca="false">G62/(1+Tasa)^5</f>
        <v>6779.30309183336</v>
      </c>
    </row>
    <row r="66" customFormat="false" ht="15" hidden="false" customHeight="false" outlineLevel="0" collapsed="false">
      <c r="A66" s="30" t="s">
        <v>170</v>
      </c>
      <c r="B66" s="25" t="n">
        <f aca="false">B65</f>
        <v>-25730</v>
      </c>
      <c r="C66" s="25" t="n">
        <f aca="false">B66+C65</f>
        <v>-16278.2782608696</v>
      </c>
      <c r="D66" s="25" t="n">
        <f aca="false">C66+D65</f>
        <v>-4878.03327032136</v>
      </c>
      <c r="E66" s="25" t="n">
        <f aca="false">D66+E65</f>
        <v>2506.3369113175</v>
      </c>
      <c r="F66" s="25" t="n">
        <f aca="false">E66+F65</f>
        <v>12089.2048970666</v>
      </c>
      <c r="G66" s="25" t="n">
        <f aca="false">F66+G65</f>
        <v>18868.5079888999</v>
      </c>
    </row>
    <row r="67" customFormat="false" ht="15" hidden="false" customHeight="false" outlineLevel="0" collapsed="false">
      <c r="A67" s="30" t="s">
        <v>171</v>
      </c>
      <c r="C67" s="33" t="str">
        <f aca="false">IF(AND(B66&lt;0,C66&gt;=0),0+ABS(B66)/C65,"")</f>
        <v/>
      </c>
      <c r="D67" s="33" t="str">
        <f aca="false">IF(AND(C66&lt;0,D66&gt;=0),1+ABS(C66)/D65,"")</f>
        <v/>
      </c>
      <c r="E67" s="33" t="n">
        <f aca="false">IF(AND(D66&lt;0,E66&gt;=0),2+ABS(D66)/E65,"")</f>
        <v>2.66058893992754</v>
      </c>
      <c r="F67" s="33" t="str">
        <f aca="false">IF(AND(E66&lt;0,F66&gt;=0),3+ABS(E66)/F65,"")</f>
        <v/>
      </c>
      <c r="G67" s="33" t="str">
        <f aca="false">IF(AND(F66&lt;0,G66&gt;=0),4+ABS(F66)/G65,"")</f>
        <v/>
      </c>
    </row>
    <row r="69" customFormat="false" ht="15" hidden="false" customHeight="false" outlineLevel="0" collapsed="false">
      <c r="A69" s="27" t="s">
        <v>230</v>
      </c>
      <c r="B69" s="32" t="n">
        <f aca="false">-InversionCota</f>
        <v>-25730</v>
      </c>
      <c r="C69" s="32" t="n">
        <f aca="false">Flujos!C69</f>
        <v>16639.272</v>
      </c>
      <c r="D69" s="32" t="n">
        <f aca="false">Flujos!D69</f>
        <v>26616.408</v>
      </c>
      <c r="E69" s="32" t="n">
        <f aca="false">Flujos!E69</f>
        <v>20606.616</v>
      </c>
      <c r="F69" s="32" t="n">
        <f aca="false">Flujos!F69</f>
        <v>30463.752</v>
      </c>
      <c r="G69" s="32" t="n">
        <f aca="false">Flujos!G69</f>
        <v>24453.96</v>
      </c>
    </row>
    <row r="70" customFormat="false" ht="15" hidden="false" customHeight="false" outlineLevel="0" collapsed="false">
      <c r="A70" s="30" t="s">
        <v>167</v>
      </c>
      <c r="B70" s="25" t="n">
        <f aca="false">B69</f>
        <v>-25730</v>
      </c>
      <c r="C70" s="25" t="n">
        <f aca="false">B70+C69</f>
        <v>-9090.728</v>
      </c>
      <c r="D70" s="25" t="n">
        <f aca="false">C70+D69</f>
        <v>17525.68</v>
      </c>
      <c r="E70" s="25" t="n">
        <f aca="false">D70+E69</f>
        <v>38132.296</v>
      </c>
      <c r="F70" s="25" t="n">
        <f aca="false">E70+F69</f>
        <v>68596.048</v>
      </c>
      <c r="G70" s="25" t="n">
        <f aca="false">F70+G69</f>
        <v>93050.008</v>
      </c>
    </row>
    <row r="71" customFormat="false" ht="15" hidden="false" customHeight="false" outlineLevel="0" collapsed="false">
      <c r="A71" s="30" t="s">
        <v>168</v>
      </c>
      <c r="C71" s="33" t="str">
        <f aca="false">IF(AND(B70&lt;0,C70&gt;=0),0+ABS(B70)/C69,"")</f>
        <v/>
      </c>
      <c r="D71" s="33" t="n">
        <f aca="false">IF(AND(C70&lt;0,D70&gt;=0),1+ABS(C70)/D69,"")</f>
        <v>1.34154601176838</v>
      </c>
      <c r="E71" s="33" t="str">
        <f aca="false">IF(AND(D70&lt;0,E70&gt;=0),2+ABS(D70)/E69,"")</f>
        <v/>
      </c>
      <c r="F71" s="33" t="str">
        <f aca="false">IF(AND(E70&lt;0,F70&gt;=0),3+ABS(E70)/F69,"")</f>
        <v/>
      </c>
      <c r="G71" s="33" t="str">
        <f aca="false">IF(AND(F70&lt;0,G70&gt;=0),4+ABS(F70)/G69,"")</f>
        <v/>
      </c>
    </row>
    <row r="72" customFormat="false" ht="15" hidden="false" customHeight="false" outlineLevel="0" collapsed="false">
      <c r="A72" s="30" t="s">
        <v>169</v>
      </c>
      <c r="B72" s="25" t="n">
        <f aca="false">B69/(1+Tasa)^0</f>
        <v>-25730</v>
      </c>
      <c r="C72" s="25" t="n">
        <f aca="false">C69/(1+Tasa)^1</f>
        <v>14468.932173913</v>
      </c>
      <c r="D72" s="25" t="n">
        <f aca="false">D69/(1+Tasa)^2</f>
        <v>20125.8283553875</v>
      </c>
      <c r="E72" s="25" t="n">
        <f aca="false">E69/(1+Tasa)^3</f>
        <v>13549.1845154927</v>
      </c>
      <c r="F72" s="25" t="n">
        <f aca="false">F69/(1+Tasa)^4</f>
        <v>17417.7490789413</v>
      </c>
      <c r="G72" s="25" t="n">
        <f aca="false">G69/(1+Tasa)^5</f>
        <v>12157.939997915</v>
      </c>
    </row>
    <row r="73" customFormat="false" ht="15" hidden="false" customHeight="false" outlineLevel="0" collapsed="false">
      <c r="A73" s="30" t="s">
        <v>170</v>
      </c>
      <c r="B73" s="25" t="n">
        <f aca="false">B72</f>
        <v>-25730</v>
      </c>
      <c r="C73" s="25" t="n">
        <f aca="false">B73+C72</f>
        <v>-11261.067826087</v>
      </c>
      <c r="D73" s="25" t="n">
        <f aca="false">C73+D72</f>
        <v>8864.76052930057</v>
      </c>
      <c r="E73" s="25" t="n">
        <f aca="false">D73+E72</f>
        <v>22413.9450447933</v>
      </c>
      <c r="F73" s="25" t="n">
        <f aca="false">E73+F72</f>
        <v>39831.6941237346</v>
      </c>
      <c r="G73" s="25" t="n">
        <f aca="false">F73+G72</f>
        <v>51989.6341216495</v>
      </c>
    </row>
    <row r="74" customFormat="false" ht="15" hidden="false" customHeight="false" outlineLevel="0" collapsed="false">
      <c r="A74" s="30" t="s">
        <v>171</v>
      </c>
      <c r="C74" s="33" t="str">
        <f aca="false">IF(AND(B73&lt;0,C73&gt;=0),0+ABS(B73)/C72,"")</f>
        <v/>
      </c>
      <c r="D74" s="33" t="n">
        <f aca="false">IF(AND(C73&lt;0,D73&gt;=0),1+ABS(C73)/D72,"")</f>
        <v>1.55953313459878</v>
      </c>
      <c r="E74" s="33" t="str">
        <f aca="false">IF(AND(D73&lt;0,E73&gt;=0),2+ABS(D73)/E72,"")</f>
        <v/>
      </c>
      <c r="F74" s="33" t="str">
        <f aca="false">IF(AND(E73&lt;0,F73&gt;=0),3+ABS(E73)/F72,"")</f>
        <v/>
      </c>
      <c r="G74" s="33" t="str">
        <f aca="false">IF(AND(F73&lt;0,G73&gt;=0),4+ABS(F73)/G72,"")</f>
        <v/>
      </c>
    </row>
    <row r="76" customFormat="false" ht="26.85" hidden="false" customHeight="false" outlineLevel="0" collapsed="false">
      <c r="A76" s="7" t="s">
        <v>175</v>
      </c>
      <c r="B76" s="7" t="s">
        <v>177</v>
      </c>
      <c r="C76" s="7" t="s">
        <v>178</v>
      </c>
      <c r="D76" s="7" t="s">
        <v>179</v>
      </c>
      <c r="E76" s="7" t="s">
        <v>180</v>
      </c>
      <c r="F76" s="7"/>
      <c r="G76" s="7"/>
    </row>
    <row r="77" customFormat="false" ht="15" hidden="false" customHeight="false" outlineLevel="0" collapsed="false">
      <c r="A77" s="9" t="s">
        <v>141</v>
      </c>
      <c r="B77" s="25" t="n">
        <f aca="false">NPV(Tasa,Sensibilidad!C55:G55)+Sensibilidad!B55</f>
        <v>-4409.75518659586</v>
      </c>
      <c r="C77" s="39" t="n">
        <f aca="false">IFERROR(IF(IRR(Sensibilidad!B55:G55,0)&lt;-0.99,IRR(Sensibilidad!B55:G55,-0.5),IRR(Sensibilidad!B55:G55,0)),"no existe")</f>
        <v>0.0808929555689755</v>
      </c>
      <c r="D77" s="40" t="n">
        <f aca="false">IF(COUNT(Sensibilidad!C57:G57)=0,"no",MIN(Sensibilidad!C57:G57))</f>
        <v>4.22387695396431</v>
      </c>
      <c r="E77" s="40" t="str">
        <f aca="false">IF(COUNT(Sensibilidad!C60:G60)=0,"no",MIN(Sensibilidad!C60:G60))</f>
        <v>no</v>
      </c>
    </row>
    <row r="78" customFormat="false" ht="15" hidden="false" customHeight="false" outlineLevel="0" collapsed="false">
      <c r="A78" s="9" t="s">
        <v>142</v>
      </c>
      <c r="B78" s="25" t="n">
        <f aca="false">NPV(Tasa,Sensibilidad!C62:G62)+Sensibilidad!B62</f>
        <v>18868.5079888999</v>
      </c>
      <c r="C78" s="39" t="n">
        <f aca="false">IFERROR(IF(IRR(Sensibilidad!B62:G62,0)&lt;-0.99,IRR(Sensibilidad!B62:G62,-0.5),IRR(Sensibilidad!B62:G62,0)),"no existe")</f>
        <v>0.415676392431792</v>
      </c>
      <c r="D78" s="40" t="n">
        <f aca="false">IF(COUNT(Sensibilidad!C64:G64)=0,"no",MIN(Sensibilidad!C64:G64))</f>
        <v>1.98565321184356</v>
      </c>
      <c r="E78" s="40" t="n">
        <f aca="false">IF(COUNT(Sensibilidad!C67:G67)=0,"no",MIN(Sensibilidad!C67:G67))</f>
        <v>2.66058893992754</v>
      </c>
    </row>
    <row r="79" customFormat="false" ht="15" hidden="false" customHeight="false" outlineLevel="0" collapsed="false">
      <c r="A79" s="9" t="s">
        <v>143</v>
      </c>
      <c r="B79" s="25" t="n">
        <f aca="false">NPV(Tasa,Sensibilidad!C69:G69)+Sensibilidad!B69</f>
        <v>51989.6341216495</v>
      </c>
      <c r="C79" s="39" t="n">
        <f aca="false">IFERROR(IF(IRR(Sensibilidad!B69:G69,0)&lt;-0.99,IRR(Sensibilidad!B69:G69,-0.5),IRR(Sensibilidad!B69:G69,0)),"no existe")</f>
        <v>0.7823999296672</v>
      </c>
      <c r="D79" s="40" t="n">
        <f aca="false">IF(COUNT(Sensibilidad!C71:G71)=0,"no",MIN(Sensibilidad!C71:G71))</f>
        <v>1.34154601176838</v>
      </c>
      <c r="E79" s="40" t="n">
        <f aca="false">IF(COUNT(Sensibilidad!C74:G74)=0,"no",MIN(Sensibilidad!C74:G74))</f>
        <v>1.55953313459878</v>
      </c>
    </row>
    <row r="81" customFormat="false" ht="15" hidden="false" customHeight="false" outlineLevel="0" collapsed="false">
      <c r="A81" s="20" t="s">
        <v>231</v>
      </c>
    </row>
    <row r="82" customFormat="false" ht="15" hidden="false" customHeight="false" outlineLevel="0" collapsed="false">
      <c r="A82" s="7" t="s">
        <v>232</v>
      </c>
      <c r="B82" s="7" t="s">
        <v>233</v>
      </c>
      <c r="C82" s="7" t="s">
        <v>163</v>
      </c>
      <c r="D82" s="7" t="s">
        <v>124</v>
      </c>
      <c r="E82" s="7" t="s">
        <v>125</v>
      </c>
      <c r="F82" s="7" t="s">
        <v>126</v>
      </c>
      <c r="G82" s="7" t="s">
        <v>127</v>
      </c>
      <c r="H82" s="7" t="s">
        <v>128</v>
      </c>
      <c r="I82" s="7" t="s">
        <v>234</v>
      </c>
      <c r="J82" s="7" t="s">
        <v>178</v>
      </c>
      <c r="K82" s="7"/>
    </row>
    <row r="83" customFormat="false" ht="15" hidden="false" customHeight="false" outlineLevel="0" collapsed="false">
      <c r="A83" s="27" t="s">
        <v>120</v>
      </c>
      <c r="B83" s="25" t="n">
        <f aca="false">TarifaJunior*HorasMesRentado*12</f>
        <v>13440</v>
      </c>
    </row>
    <row r="84" customFormat="false" ht="15" hidden="false" customHeight="false" outlineLevel="0" collapsed="false">
      <c r="A84" s="9" t="s">
        <v>235</v>
      </c>
      <c r="C84" s="17" t="n">
        <f aca="false">Flujos!B11</f>
        <v>-10279</v>
      </c>
      <c r="D84" s="25" t="n">
        <f aca="false">Flujos!C11-$B$83</f>
        <v>-7619.088</v>
      </c>
      <c r="E84" s="25" t="n">
        <f aca="false">Flujos!D11-$B$83</f>
        <v>-9181.536</v>
      </c>
      <c r="F84" s="25" t="n">
        <f aca="false">Flujos!E11-$B$83</f>
        <v>-5815.416</v>
      </c>
      <c r="G84" s="25" t="n">
        <f aca="false">Flujos!F11-$B$83</f>
        <v>-7497.864</v>
      </c>
      <c r="H84" s="25" t="n">
        <f aca="false">Flujos!G11-$B$83</f>
        <v>-4131.744</v>
      </c>
      <c r="I84" s="25" t="n">
        <f aca="false">NPV(Tasa,D84:H84)+C84</f>
        <v>-34011.7197038691</v>
      </c>
      <c r="J84" s="39" t="str">
        <f aca="false">IFERROR(IF(IRR(C84:H84,0)&lt;-0.99,IRR(C84:H84,-0.5),IRR(C84:H84,0)),"no existe")</f>
        <v>no existe</v>
      </c>
    </row>
    <row r="85" customFormat="false" ht="15" hidden="false" customHeight="false" outlineLevel="0" collapsed="false">
      <c r="A85" s="9" t="s">
        <v>236</v>
      </c>
      <c r="C85" s="17" t="n">
        <f aca="false">Flujos!B40</f>
        <v>-10279</v>
      </c>
      <c r="D85" s="25" t="n">
        <f aca="false">Flujos!C40-$B$83</f>
        <v>-2570.52</v>
      </c>
      <c r="E85" s="25" t="n">
        <f aca="false">Flujos!D40-$B$83</f>
        <v>1636.824</v>
      </c>
      <c r="F85" s="25" t="n">
        <f aca="false">Flujos!E40-$B$83</f>
        <v>-2209.296</v>
      </c>
      <c r="G85" s="25" t="n">
        <f aca="false">Flujos!F40-$B$83</f>
        <v>3320.496</v>
      </c>
      <c r="H85" s="25" t="n">
        <f aca="false">Flujos!G40-$B$83</f>
        <v>195.600000000002</v>
      </c>
      <c r="I85" s="25" t="n">
        <f aca="false">NPV(Tasa,D85:H85)+C85</f>
        <v>-10733.4565283733</v>
      </c>
      <c r="J85" s="39" t="n">
        <f aca="false">IFERROR(IF(IRR(C85:H85,0)&lt;-0.99,IRR(C85:H85,-0.5),IRR(C85:H85,0)),"no existe")</f>
        <v>-0.328619808405778</v>
      </c>
    </row>
    <row r="86" customFormat="false" ht="15" hidden="false" customHeight="false" outlineLevel="0" collapsed="false">
      <c r="A86" s="9" t="s">
        <v>237</v>
      </c>
      <c r="C86" s="17" t="n">
        <f aca="false">Flujos!B69</f>
        <v>-10279</v>
      </c>
      <c r="D86" s="25" t="n">
        <f aca="false">Flujos!C69-$B$83</f>
        <v>3199.272</v>
      </c>
      <c r="E86" s="25" t="n">
        <f aca="false">Flujos!D69-$B$83</f>
        <v>13176.408</v>
      </c>
      <c r="F86" s="25" t="n">
        <f aca="false">Flujos!E69-$B$83</f>
        <v>7166.616</v>
      </c>
      <c r="G86" s="25" t="n">
        <f aca="false">Flujos!F69-$B$83</f>
        <v>17023.752</v>
      </c>
      <c r="H86" s="25" t="n">
        <f aca="false">Flujos!G69-$B$83</f>
        <v>11013.96</v>
      </c>
      <c r="I86" s="25" t="n">
        <f aca="false">NPV(Tasa,D86:H86)+C86</f>
        <v>22387.6696043763</v>
      </c>
      <c r="J86" s="39" t="n">
        <f aca="false">IFERROR(IF(IRR(C86:H86,0)&lt;-0.99,IRR(C86:H86,-0.5),IRR(C86:H86,0)),"no existe")</f>
        <v>0.72788823008419</v>
      </c>
    </row>
    <row r="87" customFormat="false" ht="15" hidden="false" customHeight="false" outlineLevel="0" collapsed="false">
      <c r="A87" s="27" t="s">
        <v>119</v>
      </c>
      <c r="B87" s="25" t="n">
        <f aca="false">TarifaSemiSenior*HorasMesRentado*12</f>
        <v>21120</v>
      </c>
    </row>
    <row r="88" customFormat="false" ht="15" hidden="false" customHeight="false" outlineLevel="0" collapsed="false">
      <c r="A88" s="9" t="s">
        <v>235</v>
      </c>
      <c r="C88" s="17" t="n">
        <f aca="false">Flujos!B11</f>
        <v>-10279</v>
      </c>
      <c r="D88" s="25" t="n">
        <f aca="false">Flujos!C11-$B$87</f>
        <v>-15299.088</v>
      </c>
      <c r="E88" s="25" t="n">
        <f aca="false">Flujos!D11-$B$87</f>
        <v>-16861.536</v>
      </c>
      <c r="F88" s="25" t="n">
        <f aca="false">Flujos!E11-$B$87</f>
        <v>-13495.416</v>
      </c>
      <c r="G88" s="25" t="n">
        <f aca="false">Flujos!F11-$B$87</f>
        <v>-15177.864</v>
      </c>
      <c r="H88" s="25" t="n">
        <f aca="false">Flujos!G11-$B$87</f>
        <v>-11811.744</v>
      </c>
      <c r="I88" s="25" t="n">
        <f aca="false">NPV(Tasa,D88:H88)+C88</f>
        <v>-59756.2708565967</v>
      </c>
      <c r="J88" s="39" t="str">
        <f aca="false">IFERROR(IF(IRR(C88:H88,0)&lt;-0.99,IRR(C88:H88,-0.5),IRR(C88:H88,0)),"no existe")</f>
        <v>no existe</v>
      </c>
    </row>
    <row r="89" customFormat="false" ht="15" hidden="false" customHeight="false" outlineLevel="0" collapsed="false">
      <c r="A89" s="9" t="s">
        <v>236</v>
      </c>
      <c r="C89" s="17" t="n">
        <f aca="false">Flujos!B40</f>
        <v>-10279</v>
      </c>
      <c r="D89" s="25" t="n">
        <f aca="false">Flujos!C40-$B$87</f>
        <v>-10250.52</v>
      </c>
      <c r="E89" s="25" t="n">
        <f aca="false">Flujos!D40-$B$87</f>
        <v>-6043.176</v>
      </c>
      <c r="F89" s="25" t="n">
        <f aca="false">Flujos!E40-$B$87</f>
        <v>-9889.296</v>
      </c>
      <c r="G89" s="25" t="n">
        <f aca="false">Flujos!F40-$B$87</f>
        <v>-4359.504</v>
      </c>
      <c r="H89" s="25" t="n">
        <f aca="false">Flujos!G40-$B$87</f>
        <v>-7484.4</v>
      </c>
      <c r="I89" s="25" t="n">
        <f aca="false">NPV(Tasa,D89:H89)+C89</f>
        <v>-36478.0076811009</v>
      </c>
      <c r="J89" s="39" t="str">
        <f aca="false">IFERROR(IF(IRR(C89:H89,0)&lt;-0.99,IRR(C89:H89,-0.5),IRR(C89:H89,0)),"no existe")</f>
        <v>no existe</v>
      </c>
    </row>
    <row r="90" customFormat="false" ht="15" hidden="false" customHeight="false" outlineLevel="0" collapsed="false">
      <c r="A90" s="9" t="s">
        <v>237</v>
      </c>
      <c r="C90" s="17" t="n">
        <f aca="false">Flujos!B69</f>
        <v>-10279</v>
      </c>
      <c r="D90" s="25" t="n">
        <f aca="false">Flujos!C69-$B$87</f>
        <v>-4480.728</v>
      </c>
      <c r="E90" s="25" t="n">
        <f aca="false">Flujos!D69-$B$87</f>
        <v>5496.408</v>
      </c>
      <c r="F90" s="25" t="n">
        <f aca="false">Flujos!E69-$B$87</f>
        <v>-513.383999999998</v>
      </c>
      <c r="G90" s="25" t="n">
        <f aca="false">Flujos!F69-$B$87</f>
        <v>9343.752</v>
      </c>
      <c r="H90" s="25" t="n">
        <f aca="false">Flujos!G69-$B$87</f>
        <v>3333.96</v>
      </c>
      <c r="I90" s="25" t="n">
        <f aca="false">NPV(Tasa,D90:H90)+C90</f>
        <v>-3356.88154835129</v>
      </c>
      <c r="J90" s="39" t="n">
        <f aca="false">IFERROR(IF(IRR(C90:H90,0)&lt;-0.99,IRR(C90:H90,-0.5),IRR(C90:H90,0)),"no existe")</f>
        <v>0.0565305357842403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LibreOffice/26.8.1.1$Linux_AARCH64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2026-10-28T02:21:58Z</dcterms:created>
  <dc:creator>openpyxl</dc:creator>
  <dc:description/>
  <dc:language>en-US</dc:language>
  <cp:lastModifiedBy/>
  <dcterms:modified xsi:type="dcterms:W3CDTF">2026-10-28T02:21:58Z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